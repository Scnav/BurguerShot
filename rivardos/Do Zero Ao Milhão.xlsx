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kins Principal" sheetId="1" r:id="rId4"/>
    <sheet state="visible" name="Skins Secundaria" sheetId="2" r:id="rId5"/>
    <sheet state="visible" name="DadosDeLancamentoCaixas" sheetId="3" r:id="rId6"/>
  </sheets>
  <definedNames/>
  <calcPr/>
  <extLst>
    <ext uri="GoogleSheetsCustomDataVersion2">
      <go:sheetsCustomData xmlns:go="http://customooxmlschemas.google.com/" r:id="rId7" roundtripDataChecksum="Em3hRCl6kIuOyMX2cV2FauTKyc+MlpGj67b1e0yeVW4="/>
    </ext>
  </extLst>
</workbook>
</file>

<file path=xl/sharedStrings.xml><?xml version="1.0" encoding="utf-8"?>
<sst xmlns="http://schemas.openxmlformats.org/spreadsheetml/2006/main" count="60" uniqueCount="42">
  <si>
    <t>Item</t>
  </si>
  <si>
    <t>Qtd.</t>
  </si>
  <si>
    <t>Valor de Compra</t>
  </si>
  <si>
    <t>Total de Compra</t>
  </si>
  <si>
    <t>Valor Atual</t>
  </si>
  <si>
    <t>Total</t>
  </si>
  <si>
    <t>PNL</t>
  </si>
  <si>
    <t>Cápsula de Adesivos das Lendas do Estocolmo 2021</t>
  </si>
  <si>
    <t>Cápsula de Autógrafos dos Campeões do Antuérpia 2022</t>
  </si>
  <si>
    <t>Cápsula de Adesivos das Desafiantes do Antuérpia 2022</t>
  </si>
  <si>
    <t>Cápsula de Autógrafos das Lendas do Antuérpia 2022</t>
  </si>
  <si>
    <t>Cápsula de Adesivos das Desafiantes do Rio 2022</t>
  </si>
  <si>
    <t>Cápsula de Adesivos das Desafiantes Regionais do Rio 2022</t>
  </si>
  <si>
    <t>Cápsula de Autógrafos dos Campeões do Rio 2022</t>
  </si>
  <si>
    <t>Cápsula de Autógrafos dos Desafiantes Regionais do Paris 2023</t>
  </si>
  <si>
    <t>Cápsula de Adesivos das Desafiantes do Paris 2023</t>
  </si>
  <si>
    <t>Cápsula de Adesivos das Desafiantes Regionais do Paris 2023</t>
  </si>
  <si>
    <t>Cápsula de Adesivos das Lendas do Paris 2023</t>
  </si>
  <si>
    <t>Cápsula de Autógrafos dos Campeões do Paris 2023</t>
  </si>
  <si>
    <t>Cápsula de Adesivos das Lendas do Copenhague 2024</t>
  </si>
  <si>
    <t>Cápsula de Adesivos das Desafiantes Regionais do Copenhague 2024</t>
  </si>
  <si>
    <t>Cápsula de Adesivos das Desafiantes do Copenhague 2024</t>
  </si>
  <si>
    <t>Cápsula de Autógrafos das Lendas do Copenhague 2024</t>
  </si>
  <si>
    <t>Cápsula de Adesivos das Desafiantes do Xangai 2024</t>
  </si>
  <si>
    <t>Cápsula de Adesivos das Lendas do Xangai 2024</t>
  </si>
  <si>
    <t>Cápsula de Autógrafos dos Desafiantes Regionais do Xangai 2024</t>
  </si>
  <si>
    <t>Lendas da CRM 2020</t>
  </si>
  <si>
    <t>Desafiantes da CRM 2020</t>
  </si>
  <si>
    <t>Caixa fraturada</t>
  </si>
  <si>
    <t>Caixa CS20</t>
  </si>
  <si>
    <t>Caixa do Ataque Ofídico</t>
  </si>
  <si>
    <t>Caixa do Coice</t>
  </si>
  <si>
    <t>Caixa dos Sonhos e Pesadelos</t>
  </si>
  <si>
    <t>Caixa da Revolução</t>
  </si>
  <si>
    <t>Caixa Quilowatt</t>
  </si>
  <si>
    <t>Caixa da Zona de Perigo</t>
  </si>
  <si>
    <t>Cápsula de Adesivos das Lendas do Austin 2025</t>
  </si>
  <si>
    <t>Cápsula de Adesivos das Desafiantes do Austin 2025</t>
  </si>
  <si>
    <t>Cápsula de Autógrafos dos Desafiantes do Austin 2025</t>
  </si>
  <si>
    <t>Cápsula de Adesivos das Desafiantes Regionais do Austin 2025</t>
  </si>
  <si>
    <t>Cápsula de Autógrafos dos Campeões do Austin 2025</t>
  </si>
  <si>
    <t>Terminal Gênese Lacrado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</si>
</sst>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21">
    <font>
      <sz val="10.0"/>
      <color rgb="FF000000"/>
      <name val="Arial"/>
      <scheme val="minor"/>
    </font>
    <font>
      <b/>
      <sz val="10.0"/>
      <color rgb="FFFFFF00"/>
      <name val="Arial"/>
    </font>
    <font>
      <sz val="10.0"/>
      <color theme="1"/>
      <name val="Arial"/>
    </font>
    <font>
      <b/>
      <u/>
      <sz val="11.0"/>
      <color rgb="FF0000FF"/>
      <name val="&quot;Motiva Sans&quot;"/>
    </font>
    <font>
      <sz val="10.0"/>
      <color rgb="FFB7B7B7"/>
      <name val="Arial"/>
    </font>
    <font>
      <b/>
      <sz val="10.0"/>
      <color theme="1"/>
      <name val="Arial"/>
    </font>
    <font>
      <b/>
      <sz val="11.0"/>
      <color theme="1"/>
      <name val="Arial"/>
    </font>
    <font>
      <u/>
      <sz val="11.0"/>
      <color rgb="FF0000FF"/>
      <name val="Arial"/>
    </font>
    <font>
      <sz val="12.0"/>
      <color rgb="FF000000"/>
      <name val="Arial"/>
    </font>
    <font>
      <sz val="12.0"/>
      <color rgb="FF000000"/>
      <name val="&quot;Motiva Sans&quot;"/>
    </font>
    <font>
      <b/>
      <u/>
      <sz val="11.0"/>
      <color rgb="FF0000FF"/>
      <name val="Arial"/>
    </font>
    <font>
      <b/>
      <u/>
      <sz val="11.0"/>
      <color rgb="FF0000FF"/>
      <name val="Arial"/>
    </font>
    <font>
      <b/>
      <u/>
      <sz val="11.0"/>
      <color rgb="FF0000FF"/>
      <name val="Arial"/>
    </font>
    <font>
      <b/>
      <u/>
      <sz val="11.0"/>
      <color rgb="FF0000FF"/>
      <name val="Arial"/>
    </font>
    <font>
      <b/>
      <u/>
      <sz val="11.0"/>
      <color rgb="FF0000FF"/>
      <name val="Arial"/>
    </font>
    <font>
      <b/>
      <color rgb="FF000000"/>
      <name val="&quot;Motiva Sans&quot;"/>
    </font>
    <font>
      <b/>
      <sz val="12.0"/>
      <color theme="1"/>
      <name val="Arial"/>
    </font>
    <font>
      <b/>
      <u/>
      <sz val="12.0"/>
      <color rgb="FF0000FF"/>
      <name val="Arial"/>
    </font>
    <font>
      <sz val="11.0"/>
      <color theme="1"/>
      <name val="Arial"/>
    </font>
    <font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9">
    <border/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</border>
    <border>
      <left style="thin">
        <color rgb="FF999999"/>
      </lef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2" fillId="2" fontId="1" numFmtId="0" xfId="0" applyAlignment="1" applyBorder="1" applyFont="1">
      <alignment horizontal="center" readingOrder="0"/>
    </xf>
    <xf borderId="0" fillId="0" fontId="2" numFmtId="0" xfId="0" applyFont="1"/>
    <xf borderId="3" fillId="3" fontId="3" numFmtId="0" xfId="0" applyAlignment="1" applyBorder="1" applyFill="1" applyFont="1">
      <alignment horizontal="center" readingOrder="0" shrinkToFit="0" wrapText="0"/>
    </xf>
    <xf borderId="4" fillId="4" fontId="2" numFmtId="0" xfId="0" applyAlignment="1" applyBorder="1" applyFill="1" applyFont="1">
      <alignment horizontal="center" readingOrder="0"/>
    </xf>
    <xf borderId="2" fillId="0" fontId="4" numFmtId="164" xfId="0" applyAlignment="1" applyBorder="1" applyFont="1" applyNumberFormat="1">
      <alignment horizontal="center" readingOrder="0"/>
    </xf>
    <xf borderId="2" fillId="4" fontId="4" numFmtId="164" xfId="0" applyAlignment="1" applyBorder="1" applyFont="1" applyNumberFormat="1">
      <alignment horizontal="center" readingOrder="0"/>
    </xf>
    <xf borderId="2" fillId="3" fontId="4" numFmtId="164" xfId="0" applyAlignment="1" applyBorder="1" applyFont="1" applyNumberFormat="1">
      <alignment horizontal="center"/>
    </xf>
    <xf borderId="2" fillId="0" fontId="5" numFmtId="9" xfId="0" applyAlignment="1" applyBorder="1" applyFont="1" applyNumberFormat="1">
      <alignment horizontal="center"/>
    </xf>
    <xf borderId="3" fillId="3" fontId="6" numFmtId="0" xfId="0" applyAlignment="1" applyBorder="1" applyFont="1">
      <alignment horizontal="center" readingOrder="0"/>
    </xf>
    <xf borderId="4" fillId="4" fontId="2" numFmtId="0" xfId="0" applyAlignment="1" applyBorder="1" applyFont="1">
      <alignment horizontal="center"/>
    </xf>
    <xf borderId="3" fillId="3" fontId="7" numFmtId="0" xfId="0" applyAlignment="1" applyBorder="1" applyFont="1">
      <alignment horizontal="center" readingOrder="0"/>
    </xf>
    <xf borderId="3" fillId="3" fontId="8" numFmtId="0" xfId="0" applyAlignment="1" applyBorder="1" applyFont="1">
      <alignment horizontal="center" readingOrder="0"/>
    </xf>
    <xf borderId="3" fillId="3" fontId="9" numFmtId="0" xfId="0" applyAlignment="1" applyBorder="1" applyFont="1">
      <alignment horizontal="center" readingOrder="0"/>
    </xf>
    <xf borderId="3" fillId="3" fontId="10" numFmtId="0" xfId="0" applyAlignment="1" applyBorder="1" applyFont="1">
      <alignment horizontal="center" readingOrder="0"/>
    </xf>
    <xf borderId="5" fillId="0" fontId="11" numFmtId="0" xfId="0" applyAlignment="1" applyBorder="1" applyFont="1">
      <alignment horizontal="center" readingOrder="0"/>
    </xf>
    <xf borderId="2" fillId="4" fontId="2" numFmtId="0" xfId="0" applyAlignment="1" applyBorder="1" applyFont="1">
      <alignment horizontal="center" readingOrder="0"/>
    </xf>
    <xf borderId="2" fillId="0" fontId="12" numFmtId="0" xfId="0" applyAlignment="1" applyBorder="1" applyFont="1">
      <alignment horizontal="center" readingOrder="0"/>
    </xf>
    <xf borderId="0" fillId="3" fontId="8" numFmtId="0" xfId="0" applyAlignment="1" applyFont="1">
      <alignment horizontal="center" readingOrder="0"/>
    </xf>
    <xf borderId="2" fillId="0" fontId="6" numFmtId="0" xfId="0" applyAlignment="1" applyBorder="1" applyFont="1">
      <alignment horizontal="center" readingOrder="0"/>
    </xf>
    <xf borderId="1" fillId="0" fontId="13" numFmtId="0" xfId="0" applyAlignment="1" applyBorder="1" applyFont="1">
      <alignment horizontal="center" readingOrder="0"/>
    </xf>
    <xf borderId="3" fillId="0" fontId="14" numFmtId="0" xfId="0" applyAlignment="1" applyBorder="1" applyFont="1">
      <alignment horizontal="center" readingOrder="0"/>
    </xf>
    <xf borderId="3" fillId="3" fontId="15" numFmtId="0" xfId="0" applyAlignment="1" applyBorder="1" applyFont="1">
      <alignment horizontal="center" readingOrder="0"/>
    </xf>
    <xf borderId="3" fillId="0" fontId="16" numFmtId="0" xfId="0" applyAlignment="1" applyBorder="1" applyFont="1">
      <alignment horizontal="center" readingOrder="0"/>
    </xf>
    <xf borderId="3" fillId="0" fontId="17" numFmtId="0" xfId="0" applyAlignment="1" applyBorder="1" applyFont="1">
      <alignment horizontal="center" readingOrder="0"/>
    </xf>
    <xf borderId="3" fillId="0" fontId="6" numFmtId="0" xfId="0" applyAlignment="1" applyBorder="1" applyFont="1">
      <alignment horizontal="center" readingOrder="0"/>
    </xf>
    <xf borderId="2" fillId="0" fontId="4" numFmtId="164" xfId="0" applyAlignment="1" applyBorder="1" applyFont="1" applyNumberFormat="1">
      <alignment horizontal="center"/>
    </xf>
    <xf borderId="3" fillId="0" fontId="2" numFmtId="0" xfId="0" applyAlignment="1" applyBorder="1" applyFont="1">
      <alignment horizontal="center" readingOrder="0"/>
    </xf>
    <xf borderId="3" fillId="3" fontId="18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center"/>
    </xf>
    <xf borderId="1" fillId="0" fontId="4" numFmtId="164" xfId="0" applyAlignment="1" applyBorder="1" applyFont="1" applyNumberFormat="1">
      <alignment horizontal="center" readingOrder="0"/>
    </xf>
    <xf borderId="1" fillId="4" fontId="4" numFmtId="164" xfId="0" applyAlignment="1" applyBorder="1" applyFont="1" applyNumberFormat="1">
      <alignment horizontal="center" readingOrder="0"/>
    </xf>
    <xf borderId="6" fillId="4" fontId="2" numFmtId="0" xfId="0" applyAlignment="1" applyBorder="1" applyFont="1">
      <alignment horizontal="center" readingOrder="0"/>
    </xf>
    <xf borderId="3" fillId="0" fontId="4" numFmtId="164" xfId="0" applyAlignment="1" applyBorder="1" applyFont="1" applyNumberFormat="1">
      <alignment horizontal="center" readingOrder="0"/>
    </xf>
    <xf borderId="3" fillId="4" fontId="4" numFmtId="164" xfId="0" applyAlignment="1" applyBorder="1" applyFont="1" applyNumberFormat="1">
      <alignment horizontal="center" readingOrder="0"/>
    </xf>
    <xf borderId="4" fillId="3" fontId="4" numFmtId="164" xfId="0" applyAlignment="1" applyBorder="1" applyFont="1" applyNumberFormat="1">
      <alignment horizontal="center"/>
    </xf>
    <xf borderId="0" fillId="3" fontId="19" numFmtId="0" xfId="0" applyFont="1"/>
    <xf borderId="0" fillId="3" fontId="19" numFmtId="0" xfId="0" applyAlignment="1" applyFont="1">
      <alignment readingOrder="0"/>
    </xf>
    <xf borderId="0" fillId="3" fontId="19" numFmtId="164" xfId="0" applyFont="1" applyNumberFormat="1"/>
    <xf borderId="0" fillId="0" fontId="20" numFmtId="164" xfId="0" applyFont="1" applyNumberFormat="1"/>
    <xf borderId="2" fillId="4" fontId="4" numFmtId="164" xfId="0" applyAlignment="1" applyBorder="1" applyFont="1" applyNumberFormat="1">
      <alignment horizontal="center" readingOrder="0"/>
    </xf>
    <xf borderId="7" fillId="0" fontId="6" numFmtId="0" xfId="0" applyAlignment="1" applyBorder="1" applyFont="1">
      <alignment horizontal="center" readingOrder="0"/>
    </xf>
    <xf borderId="5" fillId="0" fontId="2" numFmtId="0" xfId="0" applyAlignment="1" applyBorder="1" applyFont="1">
      <alignment horizontal="center"/>
    </xf>
    <xf borderId="2" fillId="0" fontId="2" numFmtId="0" xfId="0" applyAlignment="1" applyBorder="1" applyFont="1">
      <alignment horizontal="center"/>
    </xf>
    <xf borderId="2" fillId="4" fontId="2" numFmtId="0" xfId="0" applyAlignment="1" applyBorder="1" applyFont="1">
      <alignment horizontal="center"/>
    </xf>
    <xf borderId="8" fillId="4" fontId="2" numFmtId="0" xfId="0" applyAlignment="1" applyBorder="1" applyFont="1">
      <alignment horizontal="center" readingOrder="0"/>
    </xf>
  </cellXfs>
  <cellStyles count="1">
    <cellStyle xfId="0" name="Normal" builtinId="0"/>
  </cellStyles>
  <dxfs count="3"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steamcommunity.com/market/listings/730/Snakebite%20Case" TargetMode="External"/><Relationship Id="rId22" Type="http://schemas.openxmlformats.org/officeDocument/2006/relationships/hyperlink" Target="https://steamcommunity.com/market/listings/730/Recoil%20Case" TargetMode="External"/><Relationship Id="rId21" Type="http://schemas.openxmlformats.org/officeDocument/2006/relationships/hyperlink" Target="https://steamcommunity.com/market/listings/730/Recoil%20Case" TargetMode="External"/><Relationship Id="rId24" Type="http://schemas.openxmlformats.org/officeDocument/2006/relationships/hyperlink" Target="https://steamcommunity.com/market/listings/730/Revolution%20Case" TargetMode="External"/><Relationship Id="rId23" Type="http://schemas.openxmlformats.org/officeDocument/2006/relationships/hyperlink" Target="https://steamcommunity.com/market/listings/730/Dreams%20%26%20Nightmares%20Case" TargetMode="External"/><Relationship Id="rId1" Type="http://schemas.openxmlformats.org/officeDocument/2006/relationships/hyperlink" Target="https://steamcommunity.com/market/listings/730/Stockholm%202021%20Legends%20Sticker%20Capsule" TargetMode="External"/><Relationship Id="rId2" Type="http://schemas.openxmlformats.org/officeDocument/2006/relationships/hyperlink" Target="https://steamcommunity.com/market/listings/730/Antwerp%202022%20Champions%20Autograph%20Capsule" TargetMode="External"/><Relationship Id="rId3" Type="http://schemas.openxmlformats.org/officeDocument/2006/relationships/hyperlink" Target="https://steamcommunity.com/market/listings/730/Antwerp%202022%20Challengers%20Sticker%20Capsule" TargetMode="External"/><Relationship Id="rId4" Type="http://schemas.openxmlformats.org/officeDocument/2006/relationships/hyperlink" Target="https://steamcommunity.com/market/listings/730/Paris%202023%20Contenders%20Autograph%20Capsule" TargetMode="External"/><Relationship Id="rId9" Type="http://schemas.openxmlformats.org/officeDocument/2006/relationships/hyperlink" Target="https://steamcommunity.com/market/listings/730/Copenhagen%202024%20Contenders%20Sticker%20Capsule" TargetMode="External"/><Relationship Id="rId26" Type="http://schemas.openxmlformats.org/officeDocument/2006/relationships/hyperlink" Target="https://steamcommunity.com/market/listings/730/Austin%202025%20Legends%20Sticker%20Capsule" TargetMode="External"/><Relationship Id="rId25" Type="http://schemas.openxmlformats.org/officeDocument/2006/relationships/hyperlink" Target="https://steamcommunity.com/market/listings/730/Kilowatt%20Case" TargetMode="External"/><Relationship Id="rId28" Type="http://schemas.openxmlformats.org/officeDocument/2006/relationships/hyperlink" Target="https://steamcommunity.com/market/listings/730/Austin%202025%20Challengers%20Autograph%20Capsule" TargetMode="External"/><Relationship Id="rId27" Type="http://schemas.openxmlformats.org/officeDocument/2006/relationships/hyperlink" Target="https://steamcommunity.com/market/listings/730/Austin%202025%20Challengers%20Sticker%20Capsule" TargetMode="External"/><Relationship Id="rId5" Type="http://schemas.openxmlformats.org/officeDocument/2006/relationships/hyperlink" Target="https://steamcommunity.com/market/listings/730/Paris%202023%20Challengers%20Sticker%20Capsule" TargetMode="External"/><Relationship Id="rId6" Type="http://schemas.openxmlformats.org/officeDocument/2006/relationships/hyperlink" Target="https://steamcommunity.com/market/listings/730/Paris%202023%20Contenders%20Sticker%20Capsule" TargetMode="External"/><Relationship Id="rId29" Type="http://schemas.openxmlformats.org/officeDocument/2006/relationships/hyperlink" Target="https://steamcommunity.com/market/listings/730/Austin%202025%20Contenders%20Sticker%20Capsule" TargetMode="External"/><Relationship Id="rId7" Type="http://schemas.openxmlformats.org/officeDocument/2006/relationships/hyperlink" Target="https://steamcommunity.com/market/listings/730/Paris%202023%20Legends%20Sticker%20Capsule" TargetMode="External"/><Relationship Id="rId8" Type="http://schemas.openxmlformats.org/officeDocument/2006/relationships/hyperlink" Target="https://steamcommunity.com/market/listings/730/Copenhagen%202024%20Legends%20Sticker%20Capsule" TargetMode="External"/><Relationship Id="rId30" Type="http://schemas.openxmlformats.org/officeDocument/2006/relationships/drawing" Target="../drawings/drawing1.xml"/><Relationship Id="rId11" Type="http://schemas.openxmlformats.org/officeDocument/2006/relationships/hyperlink" Target="https://steamcommunity.com/market/listings/730/Shanghai%202024%20Challengers%20Sticker%20Capsule" TargetMode="External"/><Relationship Id="rId10" Type="http://schemas.openxmlformats.org/officeDocument/2006/relationships/hyperlink" Target="https://steamcommunity.com/market/listings/730/Copenhagen%202024%20Challengers%20Sticker%20Capsule" TargetMode="External"/><Relationship Id="rId13" Type="http://schemas.openxmlformats.org/officeDocument/2006/relationships/hyperlink" Target="https://steamcommunity.com/market/listings/730/2020%20RMR%20Challengers" TargetMode="External"/><Relationship Id="rId12" Type="http://schemas.openxmlformats.org/officeDocument/2006/relationships/hyperlink" Target="https://steamcommunity.com/market/listings/730/2020%20RMR%20Legends" TargetMode="External"/><Relationship Id="rId15" Type="http://schemas.openxmlformats.org/officeDocument/2006/relationships/hyperlink" Target="https://steamcommunity.com/market/listings/730/Fracture%20Case" TargetMode="External"/><Relationship Id="rId14" Type="http://schemas.openxmlformats.org/officeDocument/2006/relationships/hyperlink" Target="https://steamcommunity.com/market/listings/730/Fracture%20Case" TargetMode="External"/><Relationship Id="rId17" Type="http://schemas.openxmlformats.org/officeDocument/2006/relationships/hyperlink" Target="https://steamcommunity.com/market/listings/730/Fracture%20Case" TargetMode="External"/><Relationship Id="rId16" Type="http://schemas.openxmlformats.org/officeDocument/2006/relationships/hyperlink" Target="https://steamcommunity.com/market/listings/730/Fracture%20Case" TargetMode="External"/><Relationship Id="rId19" Type="http://schemas.openxmlformats.org/officeDocument/2006/relationships/hyperlink" Target="https://steamcommunity.com/market/listings/730/CS20%20Case" TargetMode="External"/><Relationship Id="rId18" Type="http://schemas.openxmlformats.org/officeDocument/2006/relationships/hyperlink" Target="https://steamcommunity.com/market/listings/730/Fracture%20Case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teamcommunity.com/market/listings/730/Antwerp%202022%20Champions%20Autograph%20Capsule" TargetMode="External"/><Relationship Id="rId2" Type="http://schemas.openxmlformats.org/officeDocument/2006/relationships/hyperlink" Target="https://steamcommunity.com/market/listings/730/Antwerp%202022%20Challengers%20Sticker%20Capsule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8.75"/>
    <col customWidth="1" min="2" max="2" width="78.5"/>
    <col customWidth="1" min="3" max="3" width="8.75"/>
    <col customWidth="1" min="4" max="4" width="14.38"/>
    <col customWidth="1" min="5" max="5" width="17.63"/>
    <col customWidth="1" min="6" max="7" width="14.38"/>
    <col customWidth="1" min="8" max="8" width="10.88"/>
    <col customWidth="1" min="9" max="9" width="21.13"/>
  </cols>
  <sheetData>
    <row r="1" ht="20.25" customHeight="1">
      <c r="B1" s="1" t="s">
        <v>0</v>
      </c>
      <c r="C1" s="2" t="s">
        <v>1</v>
      </c>
      <c r="D1" s="2" t="s">
        <v>2</v>
      </c>
      <c r="E1" s="3" t="s">
        <v>3</v>
      </c>
      <c r="F1" s="2" t="s">
        <v>4</v>
      </c>
      <c r="G1" s="2" t="s">
        <v>5</v>
      </c>
      <c r="H1" s="2" t="s">
        <v>6</v>
      </c>
      <c r="I1" s="4"/>
    </row>
    <row r="2" ht="15.75" customHeight="1">
      <c r="B2" s="5" t="s">
        <v>7</v>
      </c>
      <c r="C2" s="6">
        <v>10.0</v>
      </c>
      <c r="D2" s="7">
        <v>7.5</v>
      </c>
      <c r="E2" s="7">
        <f>SUM(C2*D2)</f>
        <v>75</v>
      </c>
      <c r="F2" s="8">
        <v>11.55</v>
      </c>
      <c r="G2" s="9">
        <f>SUM(C2*F2)</f>
        <v>115.5</v>
      </c>
      <c r="H2" s="10">
        <f>F2/D2-100%</f>
        <v>0.54</v>
      </c>
      <c r="I2" s="4"/>
    </row>
    <row r="3" ht="15.75" customHeight="1">
      <c r="B3" s="11"/>
      <c r="C3" s="12"/>
      <c r="D3" s="7"/>
      <c r="E3" s="7"/>
      <c r="F3" s="8"/>
      <c r="G3" s="9"/>
      <c r="H3" s="10"/>
      <c r="I3" s="4"/>
    </row>
    <row r="4" ht="15.75" customHeight="1">
      <c r="B4" s="13" t="s">
        <v>8</v>
      </c>
      <c r="C4" s="6">
        <v>1.0</v>
      </c>
      <c r="D4" s="7">
        <v>0.01</v>
      </c>
      <c r="E4" s="7">
        <v>0.01</v>
      </c>
      <c r="F4" s="8">
        <v>2.19</v>
      </c>
      <c r="G4" s="9">
        <f>SUM(C4*F2)</f>
        <v>11.55</v>
      </c>
      <c r="H4" s="10"/>
      <c r="I4" s="4"/>
    </row>
    <row r="5" ht="15.75" customHeight="1">
      <c r="B5" s="13" t="s">
        <v>9</v>
      </c>
      <c r="C5" s="6">
        <v>2.0</v>
      </c>
      <c r="D5" s="7">
        <v>0.01</v>
      </c>
      <c r="E5" s="7">
        <v>0.01</v>
      </c>
      <c r="F5" s="8">
        <v>2.31</v>
      </c>
      <c r="G5" s="9">
        <f t="shared" ref="G5:G6" si="1">SUM(C5*F5)</f>
        <v>4.62</v>
      </c>
      <c r="H5" s="10"/>
      <c r="I5" s="4"/>
    </row>
    <row r="6" ht="15.75" customHeight="1">
      <c r="B6" s="14" t="s">
        <v>10</v>
      </c>
      <c r="C6" s="6">
        <v>3.0</v>
      </c>
      <c r="D6" s="7">
        <v>0.01</v>
      </c>
      <c r="E6" s="7">
        <v>0.01</v>
      </c>
      <c r="F6" s="8">
        <v>1.99</v>
      </c>
      <c r="G6" s="9">
        <f t="shared" si="1"/>
        <v>5.97</v>
      </c>
      <c r="H6" s="10"/>
      <c r="I6" s="4"/>
    </row>
    <row r="7" ht="15.75" customHeight="1">
      <c r="B7" s="15"/>
      <c r="C7" s="12"/>
      <c r="D7" s="7"/>
      <c r="E7" s="7"/>
      <c r="F7" s="8"/>
      <c r="G7" s="9"/>
      <c r="H7" s="10"/>
      <c r="I7" s="4"/>
    </row>
    <row r="8" ht="15.75" customHeight="1">
      <c r="B8" s="15" t="s">
        <v>11</v>
      </c>
      <c r="C8" s="6">
        <v>2.0</v>
      </c>
      <c r="D8" s="7"/>
      <c r="E8" s="7"/>
      <c r="F8" s="8"/>
      <c r="G8" s="9"/>
      <c r="H8" s="10"/>
      <c r="I8" s="4"/>
    </row>
    <row r="9" ht="15.75" customHeight="1">
      <c r="B9" s="15" t="s">
        <v>12</v>
      </c>
      <c r="C9" s="6">
        <v>3.0</v>
      </c>
      <c r="D9" s="7"/>
      <c r="E9" s="7"/>
      <c r="F9" s="8"/>
      <c r="G9" s="9"/>
      <c r="H9" s="10"/>
      <c r="I9" s="4"/>
    </row>
    <row r="10" ht="15.75" customHeight="1">
      <c r="B10" s="15" t="s">
        <v>13</v>
      </c>
      <c r="C10" s="6">
        <v>1.0</v>
      </c>
      <c r="D10" s="7"/>
      <c r="E10" s="7"/>
      <c r="F10" s="8"/>
      <c r="G10" s="9"/>
      <c r="H10" s="10"/>
      <c r="I10" s="4"/>
    </row>
    <row r="11" ht="15.75" customHeight="1">
      <c r="B11" s="11"/>
      <c r="C11" s="12"/>
      <c r="D11" s="7"/>
      <c r="E11" s="7"/>
      <c r="F11" s="8"/>
      <c r="G11" s="9"/>
      <c r="H11" s="10"/>
      <c r="I11" s="4"/>
    </row>
    <row r="12" ht="15.75" customHeight="1">
      <c r="B12" s="16" t="s">
        <v>14</v>
      </c>
      <c r="C12" s="12">
        <v>1.0</v>
      </c>
      <c r="D12" s="7">
        <v>1.18</v>
      </c>
      <c r="E12" s="7">
        <f t="shared" ref="E12:E15" si="2">SUM(C12*D12)</f>
        <v>1.18</v>
      </c>
      <c r="F12" s="8">
        <v>0.72</v>
      </c>
      <c r="G12" s="9">
        <f t="shared" ref="G12:G15" si="3">SUM(C12*F12)</f>
        <v>0.72</v>
      </c>
      <c r="H12" s="10">
        <f t="shared" ref="H12:H15" si="4">F12/D12-100%</f>
        <v>-0.3898305085</v>
      </c>
      <c r="I12" s="4"/>
    </row>
    <row r="13" ht="15.75" customHeight="1">
      <c r="B13" s="17" t="s">
        <v>15</v>
      </c>
      <c r="C13" s="18">
        <v>192.0</v>
      </c>
      <c r="D13" s="7">
        <v>1.2</v>
      </c>
      <c r="E13" s="7">
        <f t="shared" si="2"/>
        <v>230.4</v>
      </c>
      <c r="F13" s="8">
        <v>0.68</v>
      </c>
      <c r="G13" s="9">
        <f t="shared" si="3"/>
        <v>130.56</v>
      </c>
      <c r="H13" s="10">
        <f t="shared" si="4"/>
        <v>-0.4333333333</v>
      </c>
      <c r="I13" s="4"/>
    </row>
    <row r="14" ht="15.75" customHeight="1">
      <c r="B14" s="19" t="s">
        <v>16</v>
      </c>
      <c r="C14" s="18">
        <v>10.0</v>
      </c>
      <c r="D14" s="7">
        <v>1.24</v>
      </c>
      <c r="E14" s="7">
        <f t="shared" si="2"/>
        <v>12.4</v>
      </c>
      <c r="F14" s="8">
        <v>0.58</v>
      </c>
      <c r="G14" s="9">
        <f t="shared" si="3"/>
        <v>5.8</v>
      </c>
      <c r="H14" s="10">
        <f t="shared" si="4"/>
        <v>-0.5322580645</v>
      </c>
      <c r="I14" s="4"/>
    </row>
    <row r="15" ht="15.75" customHeight="1">
      <c r="B15" s="19" t="s">
        <v>17</v>
      </c>
      <c r="C15" s="18">
        <v>60.0</v>
      </c>
      <c r="D15" s="7">
        <v>1.29</v>
      </c>
      <c r="E15" s="7">
        <f t="shared" si="2"/>
        <v>77.4</v>
      </c>
      <c r="F15" s="8">
        <v>0.83</v>
      </c>
      <c r="G15" s="9">
        <f t="shared" si="3"/>
        <v>49.8</v>
      </c>
      <c r="H15" s="10">
        <f t="shared" si="4"/>
        <v>-0.3565891473</v>
      </c>
      <c r="I15" s="4"/>
    </row>
    <row r="16" ht="15.75" customHeight="1">
      <c r="B16" s="20" t="s">
        <v>18</v>
      </c>
      <c r="C16" s="18">
        <v>1.0</v>
      </c>
      <c r="D16" s="7">
        <v>0.01</v>
      </c>
      <c r="E16" s="7"/>
      <c r="F16" s="8">
        <v>1.34</v>
      </c>
      <c r="G16" s="8">
        <v>1.34</v>
      </c>
      <c r="H16" s="10"/>
      <c r="I16" s="4"/>
    </row>
    <row r="17" ht="15.75" customHeight="1">
      <c r="B17" s="21"/>
      <c r="C17" s="18"/>
      <c r="D17" s="7"/>
      <c r="E17" s="7"/>
      <c r="F17" s="8"/>
      <c r="G17" s="9"/>
      <c r="H17" s="10"/>
      <c r="I17" s="4"/>
    </row>
    <row r="18" ht="15.75" customHeight="1">
      <c r="B18" s="19" t="s">
        <v>19</v>
      </c>
      <c r="C18" s="18">
        <v>1.0</v>
      </c>
      <c r="D18" s="7">
        <v>1.29</v>
      </c>
      <c r="E18" s="7">
        <f t="shared" ref="E18:E20" si="5">SUM(C18*D18)</f>
        <v>1.29</v>
      </c>
      <c r="F18" s="8">
        <v>3.03</v>
      </c>
      <c r="G18" s="9">
        <f t="shared" ref="G18:G20" si="6">SUM(C18*F18)</f>
        <v>3.03</v>
      </c>
      <c r="H18" s="10">
        <f t="shared" ref="H18:H20" si="7">F18/D18-100%</f>
        <v>1.348837209</v>
      </c>
      <c r="I18" s="4"/>
    </row>
    <row r="19" ht="15.75" customHeight="1">
      <c r="B19" s="22" t="s">
        <v>20</v>
      </c>
      <c r="C19" s="18">
        <v>5.0</v>
      </c>
      <c r="D19" s="7">
        <v>1.29</v>
      </c>
      <c r="E19" s="7">
        <f t="shared" si="5"/>
        <v>6.45</v>
      </c>
      <c r="F19" s="8">
        <v>3.41</v>
      </c>
      <c r="G19" s="9">
        <f t="shared" si="6"/>
        <v>17.05</v>
      </c>
      <c r="H19" s="10">
        <f t="shared" si="7"/>
        <v>1.643410853</v>
      </c>
      <c r="I19" s="4"/>
    </row>
    <row r="20" ht="15.75" customHeight="1">
      <c r="B20" s="23" t="s">
        <v>21</v>
      </c>
      <c r="C20" s="6">
        <v>3.0</v>
      </c>
      <c r="D20" s="7">
        <v>1.29</v>
      </c>
      <c r="E20" s="7">
        <f t="shared" si="5"/>
        <v>3.87</v>
      </c>
      <c r="F20" s="8">
        <v>4.42</v>
      </c>
      <c r="G20" s="9">
        <f t="shared" si="6"/>
        <v>13.26</v>
      </c>
      <c r="H20" s="10">
        <f t="shared" si="7"/>
        <v>2.426356589</v>
      </c>
      <c r="I20" s="4"/>
    </row>
    <row r="21" ht="15.75" customHeight="1">
      <c r="B21" s="15" t="s">
        <v>22</v>
      </c>
      <c r="C21" s="6">
        <v>1.0</v>
      </c>
      <c r="D21" s="7"/>
      <c r="E21" s="7"/>
      <c r="F21" s="8"/>
      <c r="G21" s="9"/>
      <c r="H21" s="10"/>
      <c r="I21" s="4"/>
    </row>
    <row r="22" ht="15.75" customHeight="1">
      <c r="B22" s="11"/>
      <c r="C22" s="6"/>
      <c r="D22" s="7"/>
      <c r="E22" s="7"/>
      <c r="F22" s="8"/>
      <c r="G22" s="9"/>
      <c r="H22" s="10"/>
      <c r="I22" s="4"/>
    </row>
    <row r="23" ht="15.75" customHeight="1">
      <c r="B23" s="16" t="s">
        <v>23</v>
      </c>
      <c r="C23" s="6">
        <v>1.0</v>
      </c>
      <c r="D23" s="7">
        <v>1.49</v>
      </c>
      <c r="E23" s="7">
        <f>SUM(C23*D23)</f>
        <v>1.49</v>
      </c>
      <c r="F23" s="8">
        <v>3.95</v>
      </c>
      <c r="G23" s="9">
        <f>SUM(C23*F23)</f>
        <v>3.95</v>
      </c>
      <c r="H23" s="10">
        <f>F23/D23-100%</f>
        <v>1.651006711</v>
      </c>
      <c r="I23" s="4"/>
    </row>
    <row r="24" ht="15.75" customHeight="1">
      <c r="B24" s="15" t="s">
        <v>24</v>
      </c>
      <c r="C24" s="6">
        <v>1.0</v>
      </c>
      <c r="D24" s="7">
        <v>0.0</v>
      </c>
      <c r="E24" s="7">
        <v>0.0</v>
      </c>
      <c r="F24" s="8">
        <v>4.85</v>
      </c>
      <c r="G24" s="8">
        <v>4.85</v>
      </c>
      <c r="H24" s="10"/>
      <c r="I24" s="4"/>
    </row>
    <row r="25" ht="15.75" customHeight="1">
      <c r="B25" s="24" t="s">
        <v>25</v>
      </c>
      <c r="C25" s="6">
        <v>1.0</v>
      </c>
      <c r="D25" s="7"/>
      <c r="E25" s="7"/>
      <c r="F25" s="8">
        <v>1.96</v>
      </c>
      <c r="G25" s="8">
        <v>1.96</v>
      </c>
      <c r="H25" s="10"/>
      <c r="I25" s="4"/>
    </row>
    <row r="26" ht="15.75" customHeight="1">
      <c r="B26" s="25"/>
      <c r="C26" s="6"/>
      <c r="D26" s="7"/>
      <c r="E26" s="7"/>
      <c r="F26" s="8"/>
      <c r="G26" s="9"/>
      <c r="H26" s="10"/>
      <c r="I26" s="4"/>
    </row>
    <row r="27" ht="15.75" customHeight="1">
      <c r="B27" s="26" t="s">
        <v>26</v>
      </c>
      <c r="C27" s="6">
        <v>3.0</v>
      </c>
      <c r="D27" s="7">
        <v>1.5</v>
      </c>
      <c r="E27" s="7">
        <f t="shared" ref="E27:E28" si="8">SUM(C27*D27)</f>
        <v>4.5</v>
      </c>
      <c r="F27" s="8">
        <v>1.26</v>
      </c>
      <c r="G27" s="9">
        <f t="shared" ref="G27:G28" si="9">SUM(C27*F27)</f>
        <v>3.78</v>
      </c>
      <c r="H27" s="10">
        <f t="shared" ref="H27:H28" si="10">F27/D27-100%</f>
        <v>-0.16</v>
      </c>
      <c r="I27" s="4"/>
    </row>
    <row r="28" ht="15.75" customHeight="1">
      <c r="B28" s="16" t="s">
        <v>27</v>
      </c>
      <c r="C28" s="6">
        <v>1.0</v>
      </c>
      <c r="D28" s="7">
        <v>1.0</v>
      </c>
      <c r="E28" s="7">
        <f t="shared" si="8"/>
        <v>1</v>
      </c>
      <c r="F28" s="8">
        <v>1.8</v>
      </c>
      <c r="G28" s="9">
        <f t="shared" si="9"/>
        <v>1.8</v>
      </c>
      <c r="H28" s="10">
        <f t="shared" si="10"/>
        <v>0.8</v>
      </c>
      <c r="I28" s="4"/>
    </row>
    <row r="29" ht="15.75" customHeight="1">
      <c r="B29" s="27"/>
      <c r="C29" s="6"/>
      <c r="D29" s="7"/>
      <c r="E29" s="7"/>
      <c r="F29" s="8"/>
      <c r="G29" s="9"/>
      <c r="H29" s="10"/>
    </row>
    <row r="30" ht="15.75" customHeight="1">
      <c r="B30" s="23" t="s">
        <v>28</v>
      </c>
      <c r="C30" s="6">
        <v>10.0</v>
      </c>
      <c r="D30" s="7">
        <v>1.95</v>
      </c>
      <c r="E30" s="7">
        <v>1.9</v>
      </c>
      <c r="F30" s="8">
        <v>4.52</v>
      </c>
      <c r="G30" s="9">
        <f t="shared" ref="G30:G41" si="11">SUM(C30*F30)</f>
        <v>45.2</v>
      </c>
      <c r="H30" s="10">
        <f t="shared" ref="H30:H41" si="12">F30/D30-100%</f>
        <v>1.317948718</v>
      </c>
    </row>
    <row r="31" ht="15.75" customHeight="1">
      <c r="B31" s="23" t="s">
        <v>28</v>
      </c>
      <c r="C31" s="6">
        <v>20.0</v>
      </c>
      <c r="D31" s="7">
        <v>0.01</v>
      </c>
      <c r="E31" s="7">
        <f t="shared" ref="E31:E41" si="13">SUM(C31*D31)</f>
        <v>0.2</v>
      </c>
      <c r="F31" s="8">
        <v>4.52</v>
      </c>
      <c r="G31" s="9">
        <f t="shared" si="11"/>
        <v>90.4</v>
      </c>
      <c r="H31" s="10">
        <f t="shared" si="12"/>
        <v>451</v>
      </c>
      <c r="I31" s="4"/>
    </row>
    <row r="32" ht="15.75" customHeight="1">
      <c r="B32" s="23" t="s">
        <v>28</v>
      </c>
      <c r="C32" s="6">
        <v>0.0</v>
      </c>
      <c r="D32" s="7">
        <v>0.01</v>
      </c>
      <c r="E32" s="7">
        <f t="shared" si="13"/>
        <v>0</v>
      </c>
      <c r="F32" s="8">
        <v>0.0</v>
      </c>
      <c r="G32" s="9">
        <f t="shared" si="11"/>
        <v>0</v>
      </c>
      <c r="H32" s="10">
        <f t="shared" si="12"/>
        <v>-1</v>
      </c>
      <c r="I32" s="4"/>
    </row>
    <row r="33" ht="15.75" customHeight="1">
      <c r="B33" s="23" t="s">
        <v>28</v>
      </c>
      <c r="C33" s="6">
        <v>87.0</v>
      </c>
      <c r="D33" s="7">
        <v>2.85</v>
      </c>
      <c r="E33" s="7">
        <f t="shared" si="13"/>
        <v>247.95</v>
      </c>
      <c r="F33" s="8">
        <v>4.52</v>
      </c>
      <c r="G33" s="9">
        <f t="shared" si="11"/>
        <v>393.24</v>
      </c>
      <c r="H33" s="10">
        <f t="shared" si="12"/>
        <v>0.5859649123</v>
      </c>
      <c r="I33" s="4"/>
    </row>
    <row r="34" ht="15.75" customHeight="1">
      <c r="B34" s="23" t="s">
        <v>28</v>
      </c>
      <c r="C34" s="6">
        <v>10.0</v>
      </c>
      <c r="D34" s="7">
        <v>2.5</v>
      </c>
      <c r="E34" s="7">
        <f t="shared" si="13"/>
        <v>25</v>
      </c>
      <c r="F34" s="8">
        <v>4.52</v>
      </c>
      <c r="G34" s="9">
        <f t="shared" si="11"/>
        <v>45.2</v>
      </c>
      <c r="H34" s="10">
        <f t="shared" si="12"/>
        <v>0.808</v>
      </c>
      <c r="I34" s="4"/>
    </row>
    <row r="35" ht="15.75" customHeight="1">
      <c r="B35" s="23" t="s">
        <v>29</v>
      </c>
      <c r="C35" s="12">
        <v>1.0</v>
      </c>
      <c r="D35" s="28">
        <v>0.01</v>
      </c>
      <c r="E35" s="7">
        <f t="shared" si="13"/>
        <v>0.01</v>
      </c>
      <c r="F35" s="8">
        <v>12.73</v>
      </c>
      <c r="G35" s="9">
        <f t="shared" si="11"/>
        <v>12.73</v>
      </c>
      <c r="H35" s="10">
        <f t="shared" si="12"/>
        <v>1272</v>
      </c>
      <c r="I35" s="4"/>
    </row>
    <row r="36" ht="15.75" customHeight="1">
      <c r="B36" s="23" t="s">
        <v>30</v>
      </c>
      <c r="C36" s="12">
        <v>1.0</v>
      </c>
      <c r="D36" s="28">
        <v>0.01</v>
      </c>
      <c r="E36" s="7">
        <f t="shared" si="13"/>
        <v>0.01</v>
      </c>
      <c r="F36" s="8">
        <v>5.07</v>
      </c>
      <c r="G36" s="9">
        <f t="shared" si="11"/>
        <v>5.07</v>
      </c>
      <c r="H36" s="10">
        <f t="shared" si="12"/>
        <v>506</v>
      </c>
      <c r="I36" s="4"/>
    </row>
    <row r="37" ht="15.75" customHeight="1">
      <c r="B37" s="23" t="s">
        <v>31</v>
      </c>
      <c r="C37" s="6">
        <v>16.0</v>
      </c>
      <c r="D37" s="28">
        <v>0.01</v>
      </c>
      <c r="E37" s="7">
        <f t="shared" si="13"/>
        <v>0.16</v>
      </c>
      <c r="F37" s="8">
        <v>2.85</v>
      </c>
      <c r="G37" s="9">
        <f t="shared" si="11"/>
        <v>45.6</v>
      </c>
      <c r="H37" s="10">
        <f t="shared" si="12"/>
        <v>284</v>
      </c>
      <c r="I37" s="4"/>
    </row>
    <row r="38" ht="15.75" customHeight="1">
      <c r="B38" s="23" t="s">
        <v>31</v>
      </c>
      <c r="C38" s="6">
        <v>15.0</v>
      </c>
      <c r="D38" s="7">
        <v>2.32</v>
      </c>
      <c r="E38" s="7">
        <f t="shared" si="13"/>
        <v>34.8</v>
      </c>
      <c r="F38" s="8">
        <v>2.85</v>
      </c>
      <c r="G38" s="9">
        <f t="shared" si="11"/>
        <v>42.75</v>
      </c>
      <c r="H38" s="10">
        <f t="shared" si="12"/>
        <v>0.2284482759</v>
      </c>
      <c r="I38" s="4"/>
    </row>
    <row r="39" ht="15.75" customHeight="1">
      <c r="B39" s="23" t="s">
        <v>32</v>
      </c>
      <c r="C39" s="6">
        <v>11.0</v>
      </c>
      <c r="D39" s="28">
        <v>0.01</v>
      </c>
      <c r="E39" s="7">
        <f t="shared" si="13"/>
        <v>0.11</v>
      </c>
      <c r="F39" s="8">
        <v>15.33</v>
      </c>
      <c r="G39" s="9">
        <f t="shared" si="11"/>
        <v>168.63</v>
      </c>
      <c r="H39" s="10">
        <f t="shared" si="12"/>
        <v>1532</v>
      </c>
      <c r="I39" s="4"/>
    </row>
    <row r="40" ht="15.75" customHeight="1">
      <c r="B40" s="23" t="s">
        <v>33</v>
      </c>
      <c r="C40" s="6">
        <v>19.0</v>
      </c>
      <c r="D40" s="28">
        <v>0.01</v>
      </c>
      <c r="E40" s="7">
        <f t="shared" si="13"/>
        <v>0.19</v>
      </c>
      <c r="F40" s="8">
        <v>4.91</v>
      </c>
      <c r="G40" s="9">
        <f t="shared" si="11"/>
        <v>93.29</v>
      </c>
      <c r="H40" s="10">
        <f t="shared" si="12"/>
        <v>490</v>
      </c>
      <c r="I40" s="4"/>
    </row>
    <row r="41" ht="15.75" customHeight="1">
      <c r="B41" s="23" t="s">
        <v>34</v>
      </c>
      <c r="C41" s="6">
        <v>17.0</v>
      </c>
      <c r="D41" s="28">
        <v>0.01</v>
      </c>
      <c r="E41" s="7">
        <f t="shared" si="13"/>
        <v>0.17</v>
      </c>
      <c r="F41" s="8">
        <v>4.27</v>
      </c>
      <c r="G41" s="9">
        <f t="shared" si="11"/>
        <v>72.59</v>
      </c>
      <c r="H41" s="10">
        <f t="shared" si="12"/>
        <v>426</v>
      </c>
      <c r="I41" s="4"/>
    </row>
    <row r="42" ht="15.75" customHeight="1">
      <c r="B42" s="29"/>
      <c r="C42" s="6"/>
      <c r="D42" s="7"/>
      <c r="E42" s="7"/>
      <c r="F42" s="8"/>
      <c r="G42" s="9"/>
      <c r="H42" s="10"/>
      <c r="I42" s="4"/>
    </row>
    <row r="43" ht="15.75" customHeight="1">
      <c r="B43" s="29" t="s">
        <v>35</v>
      </c>
      <c r="C43" s="6">
        <v>7.0</v>
      </c>
      <c r="D43" s="7">
        <v>11.0</v>
      </c>
      <c r="E43" s="7">
        <f>SUM(C43*D43)</f>
        <v>77</v>
      </c>
      <c r="F43" s="8">
        <v>11.55</v>
      </c>
      <c r="G43" s="9">
        <f>SUM(C43*F43)</f>
        <v>80.85</v>
      </c>
      <c r="H43" s="10">
        <f>F43/D43-100%</f>
        <v>0.05</v>
      </c>
      <c r="I43" s="4"/>
    </row>
    <row r="44" ht="15.75" customHeight="1">
      <c r="B44" s="30"/>
      <c r="C44" s="6"/>
      <c r="D44" s="7"/>
      <c r="E44" s="7"/>
      <c r="F44" s="8"/>
      <c r="G44" s="9"/>
      <c r="H44" s="10"/>
      <c r="I44" s="4"/>
    </row>
    <row r="45" ht="15.75" customHeight="1">
      <c r="B45" s="13" t="s">
        <v>36</v>
      </c>
      <c r="C45" s="6">
        <v>11.0</v>
      </c>
      <c r="D45" s="7">
        <v>1.45</v>
      </c>
      <c r="E45" s="7">
        <f t="shared" ref="E45:E50" si="14">SUM(C45*D45)</f>
        <v>15.95</v>
      </c>
      <c r="F45" s="8">
        <v>3.52</v>
      </c>
      <c r="G45" s="9">
        <f t="shared" ref="G45:G59" si="15">SUM(C45*F45)</f>
        <v>38.72</v>
      </c>
      <c r="H45" s="10">
        <f t="shared" ref="H45:H59" si="16">F45/D45-100%</f>
        <v>1.427586207</v>
      </c>
      <c r="I45" s="4"/>
    </row>
    <row r="46" ht="15.75" customHeight="1">
      <c r="B46" s="13" t="s">
        <v>37</v>
      </c>
      <c r="C46" s="6">
        <v>12.0</v>
      </c>
      <c r="D46" s="7">
        <v>1.45</v>
      </c>
      <c r="E46" s="7">
        <f t="shared" si="14"/>
        <v>17.4</v>
      </c>
      <c r="F46" s="8">
        <v>5.08</v>
      </c>
      <c r="G46" s="9">
        <f t="shared" si="15"/>
        <v>60.96</v>
      </c>
      <c r="H46" s="10">
        <f t="shared" si="16"/>
        <v>2.503448276</v>
      </c>
      <c r="I46" s="4"/>
    </row>
    <row r="47" ht="15.75" customHeight="1">
      <c r="B47" s="13" t="s">
        <v>38</v>
      </c>
      <c r="C47" s="6">
        <v>5.0</v>
      </c>
      <c r="D47" s="7">
        <v>1.45</v>
      </c>
      <c r="E47" s="7">
        <f t="shared" si="14"/>
        <v>7.25</v>
      </c>
      <c r="F47" s="8">
        <v>1.85</v>
      </c>
      <c r="G47" s="9">
        <f t="shared" si="15"/>
        <v>9.25</v>
      </c>
      <c r="H47" s="10">
        <f t="shared" si="16"/>
        <v>0.275862069</v>
      </c>
      <c r="I47" s="4"/>
    </row>
    <row r="48" ht="15.75" customHeight="1">
      <c r="B48" s="13" t="s">
        <v>39</v>
      </c>
      <c r="C48" s="6">
        <v>10.0</v>
      </c>
      <c r="D48" s="7">
        <v>1.45</v>
      </c>
      <c r="E48" s="7">
        <f t="shared" si="14"/>
        <v>14.5</v>
      </c>
      <c r="F48" s="8">
        <v>3.77</v>
      </c>
      <c r="G48" s="9">
        <f t="shared" si="15"/>
        <v>37.7</v>
      </c>
      <c r="H48" s="10">
        <f t="shared" si="16"/>
        <v>1.6</v>
      </c>
      <c r="I48" s="4"/>
    </row>
    <row r="49" ht="15.75" customHeight="1">
      <c r="B49" s="15" t="s">
        <v>40</v>
      </c>
      <c r="C49" s="6">
        <v>3.0</v>
      </c>
      <c r="D49" s="7">
        <v>0.0</v>
      </c>
      <c r="E49" s="7">
        <f t="shared" si="14"/>
        <v>0</v>
      </c>
      <c r="F49" s="8">
        <v>1.89</v>
      </c>
      <c r="G49" s="9">
        <f t="shared" si="15"/>
        <v>5.67</v>
      </c>
      <c r="H49" s="10" t="str">
        <f t="shared" si="16"/>
        <v>#DIV/0!</v>
      </c>
      <c r="I49" s="4"/>
    </row>
    <row r="50" ht="15.75" customHeight="1">
      <c r="B50" s="31"/>
      <c r="C50" s="6">
        <v>0.0</v>
      </c>
      <c r="D50" s="7">
        <v>0.0</v>
      </c>
      <c r="E50" s="7">
        <f t="shared" si="14"/>
        <v>0</v>
      </c>
      <c r="F50" s="8">
        <v>0.0</v>
      </c>
      <c r="G50" s="9">
        <f t="shared" si="15"/>
        <v>0</v>
      </c>
      <c r="H50" s="10" t="str">
        <f t="shared" si="16"/>
        <v>#DIV/0!</v>
      </c>
      <c r="I50" s="4"/>
    </row>
    <row r="51" ht="15.75" customHeight="1">
      <c r="B51" s="24" t="s">
        <v>41</v>
      </c>
      <c r="C51" s="6">
        <v>0.0</v>
      </c>
      <c r="D51" s="7">
        <v>0.01</v>
      </c>
      <c r="E51" s="7">
        <v>2.34</v>
      </c>
      <c r="F51" s="8">
        <v>0.0</v>
      </c>
      <c r="G51" s="9">
        <f t="shared" si="15"/>
        <v>0</v>
      </c>
      <c r="H51" s="10">
        <f t="shared" si="16"/>
        <v>-1</v>
      </c>
      <c r="I51" s="4"/>
    </row>
    <row r="52" ht="15.75" customHeight="1">
      <c r="B52" s="31"/>
      <c r="C52" s="6">
        <v>0.0</v>
      </c>
      <c r="D52" s="7">
        <v>0.0</v>
      </c>
      <c r="E52" s="7">
        <f t="shared" ref="E52:E59" si="17">SUM(C52*D52)</f>
        <v>0</v>
      </c>
      <c r="F52" s="8">
        <v>0.0</v>
      </c>
      <c r="G52" s="9">
        <f t="shared" si="15"/>
        <v>0</v>
      </c>
      <c r="H52" s="10" t="str">
        <f t="shared" si="16"/>
        <v>#DIV/0!</v>
      </c>
      <c r="I52" s="4"/>
    </row>
    <row r="53" ht="15.75" customHeight="1">
      <c r="B53" s="31"/>
      <c r="C53" s="6">
        <v>0.0</v>
      </c>
      <c r="D53" s="7">
        <v>0.0</v>
      </c>
      <c r="E53" s="7">
        <f t="shared" si="17"/>
        <v>0</v>
      </c>
      <c r="F53" s="8">
        <v>0.0</v>
      </c>
      <c r="G53" s="9">
        <f t="shared" si="15"/>
        <v>0</v>
      </c>
      <c r="H53" s="10" t="str">
        <f t="shared" si="16"/>
        <v>#DIV/0!</v>
      </c>
      <c r="I53" s="4"/>
    </row>
    <row r="54" ht="15.75" customHeight="1">
      <c r="B54" s="31"/>
      <c r="C54" s="6">
        <v>0.0</v>
      </c>
      <c r="D54" s="7">
        <v>0.0</v>
      </c>
      <c r="E54" s="7">
        <f t="shared" si="17"/>
        <v>0</v>
      </c>
      <c r="F54" s="8">
        <v>0.0</v>
      </c>
      <c r="G54" s="9">
        <f t="shared" si="15"/>
        <v>0</v>
      </c>
      <c r="H54" s="10" t="str">
        <f t="shared" si="16"/>
        <v>#DIV/0!</v>
      </c>
      <c r="I54" s="4"/>
    </row>
    <row r="55" ht="15.75" customHeight="1">
      <c r="B55" s="31"/>
      <c r="C55" s="6">
        <v>0.0</v>
      </c>
      <c r="D55" s="7">
        <v>0.0</v>
      </c>
      <c r="E55" s="7">
        <f t="shared" si="17"/>
        <v>0</v>
      </c>
      <c r="F55" s="8">
        <v>0.0</v>
      </c>
      <c r="G55" s="9">
        <f t="shared" si="15"/>
        <v>0</v>
      </c>
      <c r="H55" s="10" t="str">
        <f t="shared" si="16"/>
        <v>#DIV/0!</v>
      </c>
      <c r="I55" s="4"/>
    </row>
    <row r="56" ht="15.75" customHeight="1">
      <c r="B56" s="31"/>
      <c r="C56" s="6">
        <v>0.0</v>
      </c>
      <c r="D56" s="7">
        <v>0.0</v>
      </c>
      <c r="E56" s="7">
        <f t="shared" si="17"/>
        <v>0</v>
      </c>
      <c r="F56" s="8">
        <v>0.0</v>
      </c>
      <c r="G56" s="9">
        <f t="shared" si="15"/>
        <v>0</v>
      </c>
      <c r="H56" s="10" t="str">
        <f t="shared" si="16"/>
        <v>#DIV/0!</v>
      </c>
      <c r="I56" s="4"/>
    </row>
    <row r="57" ht="15.75" customHeight="1">
      <c r="B57" s="31"/>
      <c r="C57" s="6">
        <v>0.0</v>
      </c>
      <c r="D57" s="7">
        <v>0.0</v>
      </c>
      <c r="E57" s="7">
        <f t="shared" si="17"/>
        <v>0</v>
      </c>
      <c r="F57" s="8">
        <v>0.0</v>
      </c>
      <c r="G57" s="9">
        <f t="shared" si="15"/>
        <v>0</v>
      </c>
      <c r="H57" s="10" t="str">
        <f t="shared" si="16"/>
        <v>#DIV/0!</v>
      </c>
      <c r="I57" s="4"/>
    </row>
    <row r="58" ht="15.75" customHeight="1">
      <c r="B58" s="31"/>
      <c r="C58" s="6">
        <v>0.0</v>
      </c>
      <c r="D58" s="32">
        <v>0.0</v>
      </c>
      <c r="E58" s="7">
        <f t="shared" si="17"/>
        <v>0</v>
      </c>
      <c r="F58" s="33">
        <v>0.0</v>
      </c>
      <c r="G58" s="9">
        <f t="shared" si="15"/>
        <v>0</v>
      </c>
      <c r="H58" s="10" t="str">
        <f t="shared" si="16"/>
        <v>#DIV/0!</v>
      </c>
      <c r="I58" s="4"/>
    </row>
    <row r="59" ht="15.75" customHeight="1">
      <c r="B59" s="31"/>
      <c r="C59" s="34">
        <v>0.0</v>
      </c>
      <c r="D59" s="35">
        <v>0.0</v>
      </c>
      <c r="E59" s="7">
        <f t="shared" si="17"/>
        <v>0</v>
      </c>
      <c r="F59" s="36">
        <v>0.0</v>
      </c>
      <c r="G59" s="37">
        <f t="shared" si="15"/>
        <v>0</v>
      </c>
      <c r="H59" s="10" t="str">
        <f t="shared" si="16"/>
        <v>#DIV/0!</v>
      </c>
      <c r="I59" s="4"/>
    </row>
    <row r="60" ht="15.75" customHeight="1">
      <c r="B60" s="38"/>
      <c r="C60" s="39">
        <f>SUM(C2:C59)</f>
        <v>558</v>
      </c>
      <c r="D60" s="38"/>
      <c r="E60" s="40">
        <f>SUM(E2:E59)</f>
        <v>859.95</v>
      </c>
      <c r="F60" s="39"/>
      <c r="G60" s="40">
        <f>SUM(G2:G59)</f>
        <v>1623.39</v>
      </c>
      <c r="H60" s="38"/>
      <c r="I60" s="41">
        <f>SUM(G60-E60)</f>
        <v>763.44</v>
      </c>
    </row>
    <row r="61" ht="15.75" customHeight="1">
      <c r="C61" s="38"/>
      <c r="D61" s="38"/>
      <c r="E61" s="38"/>
      <c r="F61" s="38"/>
      <c r="G61" s="38"/>
      <c r="H61" s="38"/>
    </row>
    <row r="62" ht="15.75" customHeight="1">
      <c r="B62" s="38"/>
      <c r="C62" s="38"/>
      <c r="D62" s="38"/>
      <c r="E62" s="38"/>
      <c r="F62" s="38"/>
      <c r="G62" s="38"/>
      <c r="H62" s="38"/>
    </row>
    <row r="63" ht="15.75" customHeight="1">
      <c r="B63" s="38"/>
      <c r="C63" s="38"/>
      <c r="D63" s="38"/>
      <c r="E63" s="38"/>
      <c r="F63" s="38"/>
      <c r="G63" s="38"/>
      <c r="H63" s="38"/>
    </row>
    <row r="64" ht="15.75" customHeight="1">
      <c r="B64" s="38"/>
      <c r="C64" s="38"/>
      <c r="D64" s="38"/>
      <c r="E64" s="38"/>
      <c r="F64" s="38"/>
      <c r="G64" s="38"/>
      <c r="H64" s="38"/>
    </row>
    <row r="65" ht="15.75" customHeight="1">
      <c r="B65" s="38"/>
      <c r="C65" s="38"/>
      <c r="D65" s="38"/>
      <c r="E65" s="38"/>
      <c r="F65" s="38"/>
      <c r="G65" s="38"/>
      <c r="H65" s="38"/>
    </row>
    <row r="66" ht="15.75" customHeight="1">
      <c r="B66" s="38"/>
      <c r="C66" s="38"/>
      <c r="D66" s="38"/>
      <c r="E66" s="38"/>
      <c r="F66" s="38"/>
      <c r="G66" s="38"/>
      <c r="H66" s="38"/>
    </row>
    <row r="67" ht="15.75" customHeight="1">
      <c r="B67" s="38"/>
      <c r="C67" s="38"/>
      <c r="D67" s="38"/>
      <c r="E67" s="38"/>
      <c r="F67" s="38"/>
      <c r="G67" s="38"/>
      <c r="H67" s="38"/>
    </row>
    <row r="68" ht="15.75" customHeight="1">
      <c r="B68" s="38"/>
      <c r="C68" s="38"/>
      <c r="D68" s="38"/>
      <c r="E68" s="38"/>
      <c r="F68" s="38"/>
      <c r="G68" s="38"/>
      <c r="H68" s="38"/>
    </row>
    <row r="69" ht="15.75" customHeight="1">
      <c r="B69" s="38"/>
      <c r="C69" s="38"/>
      <c r="D69" s="38"/>
      <c r="E69" s="38"/>
      <c r="F69" s="38"/>
      <c r="G69" s="38"/>
      <c r="H69" s="38"/>
    </row>
    <row r="70" ht="15.75" customHeight="1">
      <c r="B70" s="38"/>
      <c r="C70" s="38"/>
      <c r="D70" s="38"/>
      <c r="E70" s="38"/>
      <c r="F70" s="38"/>
      <c r="G70" s="38"/>
      <c r="H70" s="38"/>
    </row>
    <row r="71" ht="15.75" customHeight="1">
      <c r="B71" s="38"/>
      <c r="C71" s="38"/>
      <c r="D71" s="38"/>
      <c r="E71" s="38"/>
      <c r="F71" s="38"/>
      <c r="G71" s="38"/>
      <c r="H71" s="38"/>
    </row>
    <row r="72" ht="15.75" customHeight="1">
      <c r="B72" s="38"/>
      <c r="C72" s="38"/>
      <c r="D72" s="38"/>
      <c r="E72" s="38"/>
      <c r="F72" s="38"/>
      <c r="G72" s="38"/>
      <c r="H72" s="38"/>
    </row>
    <row r="73" ht="15.75" customHeight="1">
      <c r="B73" s="38"/>
      <c r="C73" s="38"/>
      <c r="D73" s="38"/>
      <c r="E73" s="38"/>
      <c r="F73" s="38"/>
      <c r="G73" s="38"/>
      <c r="H73" s="38"/>
    </row>
    <row r="74" ht="15.75" customHeight="1">
      <c r="B74" s="38"/>
      <c r="C74" s="38"/>
      <c r="D74" s="38"/>
      <c r="E74" s="38"/>
      <c r="F74" s="38"/>
      <c r="G74" s="38"/>
      <c r="H74" s="38"/>
    </row>
    <row r="75" ht="15.75" customHeight="1">
      <c r="B75" s="38"/>
      <c r="C75" s="38"/>
      <c r="D75" s="38"/>
      <c r="E75" s="38"/>
      <c r="F75" s="38"/>
      <c r="G75" s="38"/>
      <c r="H75" s="38"/>
    </row>
    <row r="76" ht="15.75" customHeight="1">
      <c r="B76" s="38"/>
      <c r="C76" s="38"/>
      <c r="D76" s="38"/>
      <c r="E76" s="38"/>
      <c r="F76" s="38"/>
      <c r="G76" s="38"/>
      <c r="H76" s="38"/>
    </row>
    <row r="77" ht="15.75" customHeight="1">
      <c r="B77" s="38"/>
      <c r="C77" s="38"/>
      <c r="D77" s="38"/>
      <c r="E77" s="38"/>
      <c r="F77" s="38"/>
      <c r="G77" s="38"/>
      <c r="H77" s="38"/>
    </row>
    <row r="78" ht="15.75" customHeight="1">
      <c r="B78" s="38"/>
      <c r="C78" s="38"/>
      <c r="D78" s="38"/>
      <c r="E78" s="38"/>
      <c r="F78" s="38"/>
      <c r="G78" s="38"/>
      <c r="H78" s="38"/>
    </row>
    <row r="79" ht="15.75" customHeight="1">
      <c r="B79" s="38"/>
      <c r="C79" s="38"/>
      <c r="D79" s="38"/>
      <c r="E79" s="38"/>
      <c r="F79" s="38"/>
      <c r="G79" s="38"/>
      <c r="H79" s="38"/>
    </row>
    <row r="80" ht="15.75" customHeight="1">
      <c r="B80" s="38"/>
      <c r="C80" s="38"/>
      <c r="D80" s="38"/>
      <c r="E80" s="38"/>
      <c r="F80" s="38"/>
      <c r="G80" s="38"/>
      <c r="H80" s="38"/>
    </row>
    <row r="81" ht="15.75" customHeight="1">
      <c r="B81" s="38"/>
      <c r="C81" s="38"/>
      <c r="D81" s="38"/>
      <c r="E81" s="38"/>
      <c r="F81" s="38"/>
      <c r="G81" s="38"/>
      <c r="H81" s="38"/>
    </row>
    <row r="82" ht="15.75" customHeight="1">
      <c r="B82" s="38"/>
      <c r="C82" s="38"/>
      <c r="D82" s="38"/>
      <c r="E82" s="38"/>
      <c r="F82" s="38"/>
      <c r="G82" s="38"/>
      <c r="H82" s="38"/>
    </row>
    <row r="83" ht="15.75" customHeight="1">
      <c r="B83" s="38"/>
      <c r="C83" s="38"/>
      <c r="D83" s="38"/>
      <c r="E83" s="38"/>
      <c r="F83" s="38"/>
      <c r="G83" s="38"/>
      <c r="H83" s="38"/>
    </row>
    <row r="84" ht="15.75" customHeight="1">
      <c r="B84" s="38"/>
      <c r="C84" s="38"/>
      <c r="D84" s="38"/>
      <c r="E84" s="38"/>
      <c r="F84" s="38"/>
      <c r="G84" s="38"/>
      <c r="H84" s="38"/>
    </row>
    <row r="85" ht="15.75" customHeight="1">
      <c r="B85" s="38"/>
      <c r="C85" s="38"/>
      <c r="D85" s="38"/>
      <c r="E85" s="38"/>
      <c r="F85" s="38"/>
      <c r="G85" s="38"/>
      <c r="H85" s="38"/>
    </row>
    <row r="86" ht="15.75" customHeight="1">
      <c r="B86" s="38"/>
      <c r="C86" s="38"/>
      <c r="D86" s="38"/>
      <c r="E86" s="38"/>
      <c r="F86" s="38"/>
      <c r="G86" s="38"/>
      <c r="H86" s="38"/>
    </row>
    <row r="87" ht="15.75" customHeight="1">
      <c r="B87" s="38"/>
      <c r="C87" s="38"/>
      <c r="D87" s="38"/>
      <c r="E87" s="38"/>
      <c r="F87" s="38"/>
      <c r="G87" s="38"/>
      <c r="H87" s="38"/>
    </row>
    <row r="88" ht="15.75" customHeight="1">
      <c r="B88" s="38"/>
      <c r="C88" s="38"/>
      <c r="D88" s="38"/>
      <c r="E88" s="38"/>
      <c r="F88" s="38"/>
      <c r="G88" s="38"/>
      <c r="H88" s="38"/>
    </row>
    <row r="89" ht="15.75" customHeight="1">
      <c r="B89" s="38"/>
      <c r="C89" s="38"/>
      <c r="D89" s="38"/>
      <c r="E89" s="38"/>
      <c r="F89" s="38"/>
      <c r="G89" s="38"/>
      <c r="H89" s="38"/>
    </row>
    <row r="90" ht="15.75" customHeight="1">
      <c r="B90" s="38"/>
      <c r="C90" s="38"/>
      <c r="D90" s="38"/>
      <c r="E90" s="38"/>
      <c r="F90" s="38"/>
      <c r="G90" s="38"/>
      <c r="H90" s="38"/>
    </row>
    <row r="91" ht="15.75" customHeight="1">
      <c r="B91" s="38"/>
      <c r="C91" s="38"/>
      <c r="D91" s="38"/>
      <c r="E91" s="38"/>
      <c r="F91" s="38"/>
      <c r="G91" s="38"/>
      <c r="H91" s="38"/>
    </row>
    <row r="92" ht="15.75" customHeight="1">
      <c r="B92" s="38"/>
      <c r="C92" s="38"/>
      <c r="D92" s="38"/>
      <c r="E92" s="38"/>
      <c r="F92" s="38"/>
      <c r="G92" s="38"/>
      <c r="H92" s="38"/>
    </row>
    <row r="93" ht="15.75" customHeight="1">
      <c r="B93" s="38"/>
      <c r="C93" s="38"/>
      <c r="D93" s="38"/>
      <c r="E93" s="38"/>
      <c r="F93" s="38"/>
      <c r="G93" s="38"/>
      <c r="H93" s="38"/>
    </row>
    <row r="94" ht="15.75" customHeight="1">
      <c r="B94" s="38"/>
      <c r="C94" s="38"/>
      <c r="D94" s="38"/>
      <c r="E94" s="38"/>
      <c r="F94" s="38"/>
      <c r="G94" s="38"/>
      <c r="H94" s="38"/>
    </row>
    <row r="95" ht="15.75" customHeight="1">
      <c r="B95" s="38"/>
      <c r="C95" s="38"/>
      <c r="D95" s="38"/>
      <c r="E95" s="38"/>
      <c r="F95" s="38"/>
      <c r="G95" s="38"/>
      <c r="H95" s="38"/>
    </row>
    <row r="96" ht="15.75" customHeight="1">
      <c r="B96" s="38"/>
      <c r="C96" s="38"/>
      <c r="D96" s="38"/>
      <c r="E96" s="38"/>
      <c r="F96" s="38"/>
      <c r="G96" s="38"/>
      <c r="H96" s="38"/>
    </row>
    <row r="97" ht="15.75" customHeight="1">
      <c r="B97" s="38"/>
      <c r="C97" s="38"/>
      <c r="D97" s="38"/>
      <c r="E97" s="38"/>
      <c r="F97" s="38"/>
      <c r="G97" s="38"/>
      <c r="H97" s="38"/>
    </row>
    <row r="98" ht="15.75" customHeight="1">
      <c r="B98" s="38"/>
      <c r="C98" s="38"/>
      <c r="D98" s="38"/>
      <c r="E98" s="38"/>
      <c r="F98" s="38"/>
      <c r="G98" s="38"/>
      <c r="H98" s="38"/>
    </row>
    <row r="99" ht="15.75" customHeight="1">
      <c r="B99" s="38"/>
      <c r="C99" s="38"/>
      <c r="D99" s="38"/>
      <c r="E99" s="38"/>
      <c r="F99" s="38"/>
      <c r="G99" s="38"/>
      <c r="H99" s="38"/>
    </row>
    <row r="100" ht="15.75" customHeight="1">
      <c r="B100" s="38"/>
      <c r="C100" s="38"/>
      <c r="D100" s="38"/>
      <c r="E100" s="38"/>
      <c r="F100" s="38"/>
      <c r="G100" s="38"/>
      <c r="H100" s="38"/>
    </row>
    <row r="101" ht="15.75" customHeight="1">
      <c r="B101" s="38"/>
      <c r="C101" s="38"/>
      <c r="D101" s="38"/>
      <c r="E101" s="38"/>
      <c r="F101" s="38"/>
      <c r="G101" s="38"/>
      <c r="H101" s="38"/>
    </row>
    <row r="102" ht="15.75" customHeight="1">
      <c r="B102" s="38"/>
      <c r="C102" s="38"/>
      <c r="D102" s="38"/>
      <c r="E102" s="38"/>
      <c r="F102" s="38"/>
      <c r="G102" s="38"/>
      <c r="H102" s="38"/>
    </row>
    <row r="103" ht="15.75" customHeight="1">
      <c r="B103" s="38"/>
      <c r="C103" s="38"/>
      <c r="D103" s="38"/>
      <c r="E103" s="38"/>
      <c r="F103" s="38"/>
      <c r="G103" s="38"/>
      <c r="H103" s="38"/>
    </row>
    <row r="104" ht="15.75" customHeight="1">
      <c r="B104" s="38"/>
      <c r="C104" s="38"/>
      <c r="D104" s="38"/>
      <c r="E104" s="38"/>
      <c r="F104" s="38"/>
      <c r="G104" s="38"/>
      <c r="H104" s="38"/>
    </row>
    <row r="105" ht="15.75" customHeight="1">
      <c r="B105" s="38"/>
      <c r="C105" s="38"/>
      <c r="D105" s="38"/>
      <c r="E105" s="38"/>
      <c r="F105" s="38"/>
      <c r="G105" s="38"/>
      <c r="H105" s="38"/>
    </row>
    <row r="106" ht="15.75" customHeight="1">
      <c r="B106" s="38"/>
      <c r="C106" s="38"/>
      <c r="D106" s="38"/>
      <c r="E106" s="38"/>
      <c r="F106" s="38"/>
      <c r="G106" s="38"/>
      <c r="H106" s="38"/>
    </row>
    <row r="107" ht="15.75" customHeight="1">
      <c r="B107" s="38"/>
      <c r="C107" s="38"/>
      <c r="D107" s="38"/>
      <c r="E107" s="38"/>
      <c r="F107" s="38"/>
      <c r="G107" s="38"/>
      <c r="H107" s="38"/>
    </row>
    <row r="108" ht="15.75" customHeight="1">
      <c r="B108" s="38"/>
      <c r="C108" s="38"/>
      <c r="D108" s="38"/>
      <c r="E108" s="38"/>
      <c r="F108" s="38"/>
      <c r="G108" s="38"/>
      <c r="H108" s="38"/>
    </row>
    <row r="109" ht="15.75" customHeight="1">
      <c r="B109" s="38"/>
      <c r="C109" s="38"/>
      <c r="D109" s="38"/>
      <c r="E109" s="38"/>
      <c r="F109" s="38"/>
      <c r="G109" s="38"/>
      <c r="H109" s="38"/>
    </row>
    <row r="110" ht="15.75" customHeight="1">
      <c r="B110" s="38"/>
      <c r="C110" s="38"/>
      <c r="D110" s="38"/>
      <c r="E110" s="38"/>
      <c r="F110" s="38"/>
      <c r="G110" s="38"/>
      <c r="H110" s="38"/>
    </row>
    <row r="111" ht="15.75" customHeight="1">
      <c r="B111" s="38"/>
      <c r="C111" s="38"/>
      <c r="D111" s="38"/>
      <c r="E111" s="38"/>
      <c r="F111" s="38"/>
      <c r="G111" s="38"/>
      <c r="H111" s="38"/>
    </row>
    <row r="112" ht="15.75" customHeight="1">
      <c r="B112" s="38"/>
      <c r="C112" s="38"/>
      <c r="D112" s="38"/>
      <c r="E112" s="38"/>
      <c r="F112" s="38"/>
      <c r="G112" s="38"/>
      <c r="H112" s="38"/>
    </row>
    <row r="113" ht="15.75" customHeight="1">
      <c r="B113" s="38"/>
      <c r="C113" s="38"/>
      <c r="D113" s="38"/>
      <c r="E113" s="38"/>
      <c r="F113" s="38"/>
      <c r="G113" s="38"/>
      <c r="H113" s="38"/>
    </row>
    <row r="114" ht="15.75" customHeight="1">
      <c r="B114" s="38"/>
      <c r="C114" s="38"/>
      <c r="D114" s="38"/>
      <c r="E114" s="38"/>
      <c r="F114" s="38"/>
      <c r="G114" s="38"/>
      <c r="H114" s="38"/>
    </row>
    <row r="115" ht="15.75" customHeight="1">
      <c r="B115" s="38"/>
      <c r="C115" s="38"/>
      <c r="D115" s="38"/>
      <c r="E115" s="38"/>
      <c r="F115" s="38"/>
      <c r="G115" s="38"/>
      <c r="H115" s="38"/>
    </row>
    <row r="116" ht="15.75" customHeight="1">
      <c r="B116" s="38"/>
      <c r="C116" s="38"/>
      <c r="D116" s="38"/>
      <c r="E116" s="38"/>
      <c r="F116" s="38"/>
      <c r="G116" s="38"/>
      <c r="H116" s="38"/>
    </row>
    <row r="117" ht="15.75" customHeight="1">
      <c r="B117" s="38"/>
      <c r="C117" s="38"/>
      <c r="D117" s="38"/>
      <c r="E117" s="38"/>
      <c r="F117" s="38"/>
      <c r="G117" s="38"/>
      <c r="H117" s="38"/>
    </row>
    <row r="118" ht="15.75" customHeight="1">
      <c r="B118" s="38"/>
      <c r="C118" s="38"/>
      <c r="D118" s="38"/>
      <c r="E118" s="38"/>
      <c r="F118" s="38"/>
      <c r="G118" s="38"/>
      <c r="H118" s="38"/>
    </row>
    <row r="119" ht="15.75" customHeight="1">
      <c r="B119" s="38"/>
      <c r="C119" s="38"/>
      <c r="D119" s="38"/>
      <c r="E119" s="38"/>
      <c r="F119" s="38"/>
      <c r="G119" s="38"/>
      <c r="H119" s="38"/>
    </row>
    <row r="120" ht="15.75" customHeight="1">
      <c r="B120" s="38"/>
      <c r="C120" s="38"/>
      <c r="D120" s="38"/>
      <c r="E120" s="38"/>
      <c r="F120" s="38"/>
      <c r="G120" s="38"/>
      <c r="H120" s="38"/>
    </row>
    <row r="121" ht="15.75" customHeight="1">
      <c r="B121" s="38"/>
      <c r="C121" s="38"/>
      <c r="D121" s="38"/>
      <c r="E121" s="38"/>
      <c r="F121" s="38"/>
      <c r="G121" s="38"/>
      <c r="H121" s="38"/>
    </row>
    <row r="122" ht="15.75" customHeight="1">
      <c r="B122" s="38"/>
      <c r="C122" s="38"/>
      <c r="D122" s="38"/>
      <c r="E122" s="38"/>
      <c r="F122" s="38"/>
      <c r="G122" s="38"/>
      <c r="H122" s="38"/>
    </row>
    <row r="123" ht="15.75" customHeight="1">
      <c r="B123" s="38"/>
      <c r="C123" s="38"/>
      <c r="D123" s="38"/>
      <c r="E123" s="38"/>
      <c r="F123" s="38"/>
      <c r="G123" s="38"/>
      <c r="H123" s="38"/>
    </row>
    <row r="124" ht="15.75" customHeight="1">
      <c r="B124" s="38"/>
      <c r="C124" s="38"/>
      <c r="D124" s="38"/>
      <c r="E124" s="38"/>
      <c r="F124" s="38"/>
      <c r="G124" s="38"/>
      <c r="H124" s="38"/>
    </row>
    <row r="125" ht="15.75" customHeight="1">
      <c r="B125" s="38"/>
      <c r="C125" s="38"/>
      <c r="D125" s="38"/>
      <c r="E125" s="38"/>
      <c r="F125" s="38"/>
      <c r="G125" s="38"/>
      <c r="H125" s="38"/>
    </row>
    <row r="126" ht="15.75" customHeight="1">
      <c r="B126" s="38"/>
      <c r="C126" s="38"/>
      <c r="D126" s="38"/>
      <c r="E126" s="38"/>
      <c r="F126" s="38"/>
      <c r="G126" s="38"/>
      <c r="H126" s="38"/>
    </row>
    <row r="127" ht="15.75" customHeight="1">
      <c r="B127" s="38"/>
      <c r="C127" s="38"/>
      <c r="D127" s="38"/>
      <c r="E127" s="38"/>
      <c r="F127" s="38"/>
      <c r="G127" s="38"/>
      <c r="H127" s="38"/>
    </row>
    <row r="128" ht="15.75" customHeight="1">
      <c r="B128" s="38"/>
      <c r="C128" s="38"/>
      <c r="D128" s="38"/>
      <c r="E128" s="38"/>
      <c r="F128" s="38"/>
      <c r="G128" s="38"/>
      <c r="H128" s="38"/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</sheetData>
  <conditionalFormatting sqref="H2:H128">
    <cfRule type="cellIs" dxfId="0" priority="1" operator="greaterThan">
      <formula>"0%"</formula>
    </cfRule>
  </conditionalFormatting>
  <conditionalFormatting sqref="H2:H128">
    <cfRule type="cellIs" dxfId="1" priority="2" operator="lessThan">
      <formula>"0%"</formula>
    </cfRule>
  </conditionalFormatting>
  <conditionalFormatting sqref="H2:H128">
    <cfRule type="cellIs" dxfId="2" priority="3" operator="equal">
      <formula>0</formula>
    </cfRule>
  </conditionalFormatting>
  <hyperlinks>
    <hyperlink r:id="rId1" ref="B2"/>
    <hyperlink r:id="rId2" ref="B4"/>
    <hyperlink r:id="rId3" ref="B5"/>
    <hyperlink r:id="rId4" ref="B12"/>
    <hyperlink r:id="rId5" ref="B13"/>
    <hyperlink r:id="rId6" ref="B14"/>
    <hyperlink r:id="rId7" ref="B15"/>
    <hyperlink r:id="rId8" ref="B18"/>
    <hyperlink r:id="rId9" ref="B19"/>
    <hyperlink r:id="rId10" ref="B20"/>
    <hyperlink r:id="rId11" ref="B23"/>
    <hyperlink r:id="rId12" ref="B27"/>
    <hyperlink r:id="rId13" ref="B28"/>
    <hyperlink r:id="rId14" ref="B30"/>
    <hyperlink r:id="rId15" ref="B31"/>
    <hyperlink r:id="rId16" ref="B32"/>
    <hyperlink r:id="rId17" ref="B33"/>
    <hyperlink r:id="rId18" ref="B34"/>
    <hyperlink r:id="rId19" ref="B35"/>
    <hyperlink r:id="rId20" ref="B36"/>
    <hyperlink r:id="rId21" ref="B37"/>
    <hyperlink r:id="rId22" ref="B38"/>
    <hyperlink r:id="rId23" ref="B39"/>
    <hyperlink r:id="rId24" ref="B40"/>
    <hyperlink r:id="rId25" ref="B41"/>
    <hyperlink r:id="rId26" ref="B45"/>
    <hyperlink r:id="rId27" ref="B46"/>
    <hyperlink r:id="rId28" ref="B47"/>
    <hyperlink r:id="rId29" ref="B48"/>
  </hyperlinks>
  <drawing r:id="rId3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8.75"/>
    <col customWidth="1" min="2" max="2" width="78.5"/>
    <col customWidth="1" min="3" max="3" width="8.75"/>
    <col customWidth="1" min="4" max="4" width="14.38"/>
    <col customWidth="1" min="5" max="5" width="17.63"/>
    <col customWidth="1" min="6" max="7" width="14.38"/>
    <col customWidth="1" min="8" max="8" width="10.88"/>
    <col customWidth="1" min="9" max="9" width="21.13"/>
  </cols>
  <sheetData>
    <row r="1" ht="20.25" customHeight="1">
      <c r="B1" s="1" t="s">
        <v>0</v>
      </c>
      <c r="C1" s="2" t="s">
        <v>1</v>
      </c>
      <c r="D1" s="2" t="s">
        <v>2</v>
      </c>
      <c r="E1" s="3" t="s">
        <v>3</v>
      </c>
      <c r="F1" s="2" t="s">
        <v>4</v>
      </c>
      <c r="G1" s="2" t="s">
        <v>5</v>
      </c>
      <c r="H1" s="2" t="s">
        <v>6</v>
      </c>
      <c r="I1" s="4"/>
    </row>
    <row r="2" ht="15.75" customHeight="1">
      <c r="B2" s="13" t="s">
        <v>8</v>
      </c>
      <c r="C2" s="6">
        <v>1.0</v>
      </c>
      <c r="D2" s="7">
        <v>0.0</v>
      </c>
      <c r="E2" s="7">
        <f t="shared" ref="E2:E31" si="1">SUM(C2*D2)</f>
        <v>0</v>
      </c>
      <c r="F2" s="42">
        <v>2.04</v>
      </c>
      <c r="G2" s="9">
        <f t="shared" ref="G2:G31" si="2">SUM(C2*F2)</f>
        <v>2.04</v>
      </c>
      <c r="H2" s="10" t="str">
        <f t="shared" ref="H2:H31" si="3">F2/D2-100%</f>
        <v>#DIV/0!</v>
      </c>
      <c r="I2" s="4"/>
    </row>
    <row r="3" ht="15.75" customHeight="1">
      <c r="B3" s="13" t="s">
        <v>9</v>
      </c>
      <c r="C3" s="6">
        <v>2.0</v>
      </c>
      <c r="D3" s="7">
        <v>0.0</v>
      </c>
      <c r="E3" s="7">
        <f t="shared" si="1"/>
        <v>0</v>
      </c>
      <c r="F3" s="8">
        <v>2.9</v>
      </c>
      <c r="G3" s="9">
        <f t="shared" si="2"/>
        <v>5.8</v>
      </c>
      <c r="H3" s="10" t="str">
        <f t="shared" si="3"/>
        <v>#DIV/0!</v>
      </c>
      <c r="I3" s="4"/>
    </row>
    <row r="4" ht="15.75" customHeight="1">
      <c r="B4" s="43"/>
      <c r="C4" s="18">
        <v>0.0</v>
      </c>
      <c r="D4" s="7">
        <v>0.0</v>
      </c>
      <c r="E4" s="7">
        <f t="shared" si="1"/>
        <v>0</v>
      </c>
      <c r="F4" s="8">
        <v>0.0</v>
      </c>
      <c r="G4" s="9">
        <f t="shared" si="2"/>
        <v>0</v>
      </c>
      <c r="H4" s="10" t="str">
        <f t="shared" si="3"/>
        <v>#DIV/0!</v>
      </c>
      <c r="I4" s="4"/>
    </row>
    <row r="5" ht="15.75" customHeight="1">
      <c r="B5" s="15" t="s">
        <v>11</v>
      </c>
      <c r="C5" s="6">
        <v>1.0</v>
      </c>
      <c r="D5" s="7">
        <v>0.0</v>
      </c>
      <c r="E5" s="7">
        <f t="shared" si="1"/>
        <v>0</v>
      </c>
      <c r="F5" s="8">
        <v>2.34</v>
      </c>
      <c r="G5" s="9">
        <f t="shared" si="2"/>
        <v>2.34</v>
      </c>
      <c r="H5" s="10" t="str">
        <f t="shared" si="3"/>
        <v>#DIV/0!</v>
      </c>
      <c r="I5" s="4"/>
    </row>
    <row r="6" ht="15.75" customHeight="1">
      <c r="B6" s="15" t="s">
        <v>12</v>
      </c>
      <c r="C6" s="6">
        <v>1.0</v>
      </c>
      <c r="D6" s="7">
        <v>0.0</v>
      </c>
      <c r="E6" s="7">
        <f t="shared" si="1"/>
        <v>0</v>
      </c>
      <c r="F6" s="8">
        <v>2.35</v>
      </c>
      <c r="G6" s="9">
        <f t="shared" si="2"/>
        <v>2.35</v>
      </c>
      <c r="H6" s="10" t="str">
        <f t="shared" si="3"/>
        <v>#DIV/0!</v>
      </c>
      <c r="I6" s="4"/>
    </row>
    <row r="7" ht="15.75" customHeight="1">
      <c r="B7" s="15" t="s">
        <v>11</v>
      </c>
      <c r="C7" s="6">
        <v>1.0</v>
      </c>
      <c r="D7" s="7">
        <v>0.0</v>
      </c>
      <c r="E7" s="7">
        <f t="shared" si="1"/>
        <v>0</v>
      </c>
      <c r="F7" s="8"/>
      <c r="G7" s="9">
        <f t="shared" si="2"/>
        <v>0</v>
      </c>
      <c r="H7" s="10" t="str">
        <f t="shared" si="3"/>
        <v>#DIV/0!</v>
      </c>
      <c r="I7" s="4"/>
    </row>
    <row r="8" ht="15.75" customHeight="1">
      <c r="B8" s="43"/>
      <c r="C8" s="18"/>
      <c r="D8" s="7"/>
      <c r="E8" s="7">
        <f t="shared" si="1"/>
        <v>0</v>
      </c>
      <c r="F8" s="8"/>
      <c r="G8" s="9">
        <f t="shared" si="2"/>
        <v>0</v>
      </c>
      <c r="H8" s="10" t="str">
        <f t="shared" si="3"/>
        <v>#DIV/0!</v>
      </c>
      <c r="I8" s="4"/>
    </row>
    <row r="9" ht="15.75" customHeight="1">
      <c r="B9" s="15" t="s">
        <v>10</v>
      </c>
      <c r="C9" s="6">
        <v>1.0</v>
      </c>
      <c r="D9" s="7">
        <v>0.0</v>
      </c>
      <c r="E9" s="7">
        <f t="shared" si="1"/>
        <v>0</v>
      </c>
      <c r="F9" s="8"/>
      <c r="G9" s="9">
        <f t="shared" si="2"/>
        <v>0</v>
      </c>
      <c r="H9" s="10" t="str">
        <f t="shared" si="3"/>
        <v>#DIV/0!</v>
      </c>
      <c r="I9" s="4"/>
    </row>
    <row r="10" ht="15.75" customHeight="1">
      <c r="B10" s="11"/>
      <c r="C10" s="6"/>
      <c r="D10" s="7"/>
      <c r="E10" s="7">
        <f t="shared" si="1"/>
        <v>0</v>
      </c>
      <c r="F10" s="8"/>
      <c r="G10" s="9">
        <f t="shared" si="2"/>
        <v>0</v>
      </c>
      <c r="H10" s="10" t="str">
        <f t="shared" si="3"/>
        <v>#DIV/0!</v>
      </c>
      <c r="I10" s="4"/>
    </row>
    <row r="11" ht="15.75" customHeight="1">
      <c r="B11" s="44"/>
      <c r="C11" s="18"/>
      <c r="D11" s="7"/>
      <c r="E11" s="7">
        <f t="shared" si="1"/>
        <v>0</v>
      </c>
      <c r="F11" s="8"/>
      <c r="G11" s="9">
        <f t="shared" si="2"/>
        <v>0</v>
      </c>
      <c r="H11" s="10" t="str">
        <f t="shared" si="3"/>
        <v>#DIV/0!</v>
      </c>
      <c r="I11" s="4"/>
    </row>
    <row r="12" ht="15.75" customHeight="1">
      <c r="B12" s="45"/>
      <c r="C12" s="18"/>
      <c r="D12" s="7"/>
      <c r="E12" s="7">
        <f t="shared" si="1"/>
        <v>0</v>
      </c>
      <c r="F12" s="8"/>
      <c r="G12" s="9">
        <f t="shared" si="2"/>
        <v>0</v>
      </c>
      <c r="H12" s="10" t="str">
        <f t="shared" si="3"/>
        <v>#DIV/0!</v>
      </c>
      <c r="I12" s="4"/>
    </row>
    <row r="13" ht="15.75" customHeight="1">
      <c r="B13" s="45"/>
      <c r="C13" s="18"/>
      <c r="D13" s="7"/>
      <c r="E13" s="7">
        <f t="shared" si="1"/>
        <v>0</v>
      </c>
      <c r="F13" s="8"/>
      <c r="G13" s="9">
        <f t="shared" si="2"/>
        <v>0</v>
      </c>
      <c r="H13" s="10" t="str">
        <f t="shared" si="3"/>
        <v>#DIV/0!</v>
      </c>
      <c r="I13" s="4"/>
    </row>
    <row r="14" ht="15.75" customHeight="1">
      <c r="B14" s="21"/>
      <c r="C14" s="18"/>
      <c r="D14" s="7"/>
      <c r="E14" s="7">
        <f t="shared" si="1"/>
        <v>0</v>
      </c>
      <c r="F14" s="8"/>
      <c r="G14" s="9">
        <f t="shared" si="2"/>
        <v>0</v>
      </c>
      <c r="H14" s="10" t="str">
        <f t="shared" si="3"/>
        <v>#DIV/0!</v>
      </c>
      <c r="I14" s="4"/>
    </row>
    <row r="15" ht="15.75" customHeight="1">
      <c r="B15" s="21"/>
      <c r="C15" s="18"/>
      <c r="D15" s="7"/>
      <c r="E15" s="7">
        <f t="shared" si="1"/>
        <v>0</v>
      </c>
      <c r="F15" s="8"/>
      <c r="G15" s="9">
        <f t="shared" si="2"/>
        <v>0</v>
      </c>
      <c r="H15" s="10" t="str">
        <f t="shared" si="3"/>
        <v>#DIV/0!</v>
      </c>
      <c r="I15" s="4"/>
    </row>
    <row r="16" ht="15.75" customHeight="1">
      <c r="B16" s="21"/>
      <c r="C16" s="46"/>
      <c r="D16" s="28"/>
      <c r="E16" s="7">
        <f t="shared" si="1"/>
        <v>0</v>
      </c>
      <c r="F16" s="8"/>
      <c r="G16" s="9">
        <f t="shared" si="2"/>
        <v>0</v>
      </c>
      <c r="H16" s="10" t="str">
        <f t="shared" si="3"/>
        <v>#DIV/0!</v>
      </c>
      <c r="I16" s="4"/>
    </row>
    <row r="17" ht="15.75" customHeight="1">
      <c r="B17" s="21"/>
      <c r="C17" s="46"/>
      <c r="D17" s="28"/>
      <c r="E17" s="7">
        <f t="shared" si="1"/>
        <v>0</v>
      </c>
      <c r="F17" s="8"/>
      <c r="G17" s="9">
        <f t="shared" si="2"/>
        <v>0</v>
      </c>
      <c r="H17" s="10" t="str">
        <f t="shared" si="3"/>
        <v>#DIV/0!</v>
      </c>
      <c r="I17" s="4"/>
    </row>
    <row r="18" ht="15.75" customHeight="1">
      <c r="B18" s="21"/>
      <c r="C18" s="18"/>
      <c r="D18" s="28"/>
      <c r="E18" s="7">
        <f t="shared" si="1"/>
        <v>0</v>
      </c>
      <c r="F18" s="8"/>
      <c r="G18" s="9">
        <f t="shared" si="2"/>
        <v>0</v>
      </c>
      <c r="H18" s="10" t="str">
        <f t="shared" si="3"/>
        <v>#DIV/0!</v>
      </c>
      <c r="I18" s="4"/>
    </row>
    <row r="19" ht="15.75" customHeight="1">
      <c r="B19" s="21"/>
      <c r="C19" s="18"/>
      <c r="D19" s="28"/>
      <c r="E19" s="7">
        <f t="shared" si="1"/>
        <v>0</v>
      </c>
      <c r="F19" s="8"/>
      <c r="G19" s="9">
        <f t="shared" si="2"/>
        <v>0</v>
      </c>
      <c r="H19" s="10" t="str">
        <f t="shared" si="3"/>
        <v>#DIV/0!</v>
      </c>
      <c r="I19" s="4"/>
    </row>
    <row r="20" ht="15.75" customHeight="1">
      <c r="B20" s="21"/>
      <c r="C20" s="18"/>
      <c r="D20" s="28"/>
      <c r="E20" s="7">
        <f t="shared" si="1"/>
        <v>0</v>
      </c>
      <c r="F20" s="8"/>
      <c r="G20" s="9">
        <f t="shared" si="2"/>
        <v>0</v>
      </c>
      <c r="H20" s="10" t="str">
        <f t="shared" si="3"/>
        <v>#DIV/0!</v>
      </c>
      <c r="I20" s="4"/>
    </row>
    <row r="21" ht="15.75" customHeight="1">
      <c r="B21" s="21"/>
      <c r="C21" s="18"/>
      <c r="D21" s="28"/>
      <c r="E21" s="7">
        <f t="shared" si="1"/>
        <v>0</v>
      </c>
      <c r="F21" s="8"/>
      <c r="G21" s="9">
        <f t="shared" si="2"/>
        <v>0</v>
      </c>
      <c r="H21" s="10" t="str">
        <f t="shared" si="3"/>
        <v>#DIV/0!</v>
      </c>
      <c r="I21" s="4"/>
    </row>
    <row r="22" ht="15.75" customHeight="1">
      <c r="B22" s="45"/>
      <c r="C22" s="18"/>
      <c r="D22" s="7"/>
      <c r="E22" s="7">
        <f t="shared" si="1"/>
        <v>0</v>
      </c>
      <c r="F22" s="8"/>
      <c r="G22" s="9">
        <f t="shared" si="2"/>
        <v>0</v>
      </c>
      <c r="H22" s="10" t="str">
        <f t="shared" si="3"/>
        <v>#DIV/0!</v>
      </c>
      <c r="I22" s="4"/>
    </row>
    <row r="23" ht="15.75" customHeight="1">
      <c r="B23" s="45"/>
      <c r="C23" s="18"/>
      <c r="D23" s="7"/>
      <c r="E23" s="7">
        <f t="shared" si="1"/>
        <v>0</v>
      </c>
      <c r="F23" s="8"/>
      <c r="G23" s="9">
        <f t="shared" si="2"/>
        <v>0</v>
      </c>
      <c r="H23" s="10" t="str">
        <f t="shared" si="3"/>
        <v>#DIV/0!</v>
      </c>
      <c r="I23" s="4"/>
    </row>
    <row r="24" ht="15.75" customHeight="1">
      <c r="B24" s="45"/>
      <c r="C24" s="18"/>
      <c r="D24" s="7"/>
      <c r="E24" s="7">
        <f t="shared" si="1"/>
        <v>0</v>
      </c>
      <c r="F24" s="8"/>
      <c r="G24" s="9">
        <f t="shared" si="2"/>
        <v>0</v>
      </c>
      <c r="H24" s="10" t="str">
        <f t="shared" si="3"/>
        <v>#DIV/0!</v>
      </c>
      <c r="I24" s="4"/>
    </row>
    <row r="25" ht="15.75" customHeight="1">
      <c r="B25" s="45"/>
      <c r="C25" s="18"/>
      <c r="D25" s="7"/>
      <c r="E25" s="7">
        <f t="shared" si="1"/>
        <v>0</v>
      </c>
      <c r="F25" s="8"/>
      <c r="G25" s="9">
        <f t="shared" si="2"/>
        <v>0</v>
      </c>
      <c r="H25" s="10" t="str">
        <f t="shared" si="3"/>
        <v>#DIV/0!</v>
      </c>
      <c r="I25" s="4"/>
    </row>
    <row r="26" ht="15.75" customHeight="1">
      <c r="B26" s="45"/>
      <c r="C26" s="18"/>
      <c r="D26" s="7"/>
      <c r="E26" s="7">
        <f t="shared" si="1"/>
        <v>0</v>
      </c>
      <c r="F26" s="8"/>
      <c r="G26" s="9">
        <f t="shared" si="2"/>
        <v>0</v>
      </c>
      <c r="H26" s="10" t="str">
        <f t="shared" si="3"/>
        <v>#DIV/0!</v>
      </c>
      <c r="I26" s="4"/>
    </row>
    <row r="27" ht="15.75" customHeight="1">
      <c r="B27" s="45"/>
      <c r="C27" s="18"/>
      <c r="D27" s="7"/>
      <c r="E27" s="7">
        <f t="shared" si="1"/>
        <v>0</v>
      </c>
      <c r="F27" s="8"/>
      <c r="G27" s="9">
        <f t="shared" si="2"/>
        <v>0</v>
      </c>
      <c r="H27" s="10" t="str">
        <f t="shared" si="3"/>
        <v>#DIV/0!</v>
      </c>
      <c r="I27" s="4"/>
    </row>
    <row r="28" ht="15.75" customHeight="1">
      <c r="B28" s="45"/>
      <c r="C28" s="18"/>
      <c r="D28" s="7"/>
      <c r="E28" s="7">
        <f t="shared" si="1"/>
        <v>0</v>
      </c>
      <c r="F28" s="8"/>
      <c r="G28" s="9">
        <f t="shared" si="2"/>
        <v>0</v>
      </c>
      <c r="H28" s="10" t="str">
        <f t="shared" si="3"/>
        <v>#DIV/0!</v>
      </c>
      <c r="I28" s="4"/>
    </row>
    <row r="29" ht="15.75" customHeight="1">
      <c r="B29" s="45"/>
      <c r="C29" s="18"/>
      <c r="D29" s="7"/>
      <c r="E29" s="7">
        <f t="shared" si="1"/>
        <v>0</v>
      </c>
      <c r="F29" s="8"/>
      <c r="G29" s="9">
        <f t="shared" si="2"/>
        <v>0</v>
      </c>
      <c r="H29" s="10" t="str">
        <f t="shared" si="3"/>
        <v>#DIV/0!</v>
      </c>
      <c r="I29" s="4"/>
    </row>
    <row r="30" ht="15.75" customHeight="1">
      <c r="B30" s="45"/>
      <c r="C30" s="18"/>
      <c r="D30" s="32"/>
      <c r="E30" s="7">
        <f t="shared" si="1"/>
        <v>0</v>
      </c>
      <c r="F30" s="33"/>
      <c r="G30" s="9">
        <f t="shared" si="2"/>
        <v>0</v>
      </c>
      <c r="H30" s="10" t="str">
        <f t="shared" si="3"/>
        <v>#DIV/0!</v>
      </c>
      <c r="I30" s="4"/>
    </row>
    <row r="31" ht="15.75" customHeight="1">
      <c r="B31" s="45"/>
      <c r="C31" s="47"/>
      <c r="D31" s="35"/>
      <c r="E31" s="7">
        <f t="shared" si="1"/>
        <v>0</v>
      </c>
      <c r="F31" s="36"/>
      <c r="G31" s="37">
        <f t="shared" si="2"/>
        <v>0</v>
      </c>
      <c r="H31" s="10" t="str">
        <f t="shared" si="3"/>
        <v>#DIV/0!</v>
      </c>
      <c r="I31" s="4"/>
    </row>
    <row r="32" ht="15.75" customHeight="1">
      <c r="B32" s="38"/>
      <c r="C32" s="38"/>
      <c r="D32" s="38"/>
      <c r="E32" s="40">
        <f>SUM(E2:E31)</f>
        <v>0</v>
      </c>
      <c r="F32" s="39"/>
      <c r="G32" s="40">
        <f>SUM(G2:G31)</f>
        <v>12.53</v>
      </c>
      <c r="H32" s="38"/>
      <c r="I32" s="41">
        <f>SUM(G32-E32)</f>
        <v>12.53</v>
      </c>
    </row>
    <row r="33" ht="15.75" customHeight="1">
      <c r="B33" s="38"/>
      <c r="C33" s="38"/>
      <c r="D33" s="38"/>
      <c r="E33" s="38"/>
      <c r="F33" s="38"/>
      <c r="G33" s="38"/>
      <c r="H33" s="38"/>
    </row>
    <row r="34" ht="15.75" customHeight="1">
      <c r="B34" s="38"/>
      <c r="C34" s="38"/>
      <c r="D34" s="38"/>
      <c r="E34" s="38"/>
      <c r="F34" s="38"/>
      <c r="G34" s="38"/>
      <c r="H34" s="38"/>
    </row>
    <row r="35" ht="15.75" customHeight="1">
      <c r="B35" s="38"/>
      <c r="C35" s="38"/>
      <c r="D35" s="38"/>
      <c r="E35" s="38"/>
      <c r="F35" s="38"/>
      <c r="G35" s="38"/>
      <c r="H35" s="38"/>
    </row>
    <row r="36" ht="15.75" customHeight="1">
      <c r="B36" s="38"/>
      <c r="C36" s="38"/>
      <c r="D36" s="38"/>
      <c r="E36" s="38"/>
      <c r="F36" s="38"/>
      <c r="G36" s="38"/>
      <c r="H36" s="38"/>
    </row>
    <row r="37" ht="15.75" customHeight="1">
      <c r="B37" s="38"/>
      <c r="C37" s="38"/>
      <c r="D37" s="38"/>
      <c r="E37" s="38"/>
      <c r="F37" s="38"/>
      <c r="G37" s="38"/>
      <c r="H37" s="38"/>
    </row>
    <row r="38" ht="15.75" customHeight="1">
      <c r="B38" s="38"/>
      <c r="C38" s="38"/>
      <c r="D38" s="38"/>
      <c r="E38" s="38"/>
      <c r="F38" s="38"/>
      <c r="G38" s="38"/>
      <c r="H38" s="38"/>
    </row>
    <row r="39" ht="15.75" customHeight="1">
      <c r="B39" s="38"/>
      <c r="C39" s="38"/>
      <c r="D39" s="38"/>
      <c r="E39" s="38"/>
      <c r="F39" s="38"/>
      <c r="G39" s="38"/>
      <c r="H39" s="38"/>
    </row>
    <row r="40" ht="15.75" customHeight="1">
      <c r="B40" s="38"/>
      <c r="C40" s="38"/>
      <c r="D40" s="38"/>
      <c r="E40" s="38"/>
      <c r="F40" s="38"/>
      <c r="G40" s="38"/>
      <c r="H40" s="38"/>
    </row>
    <row r="41" ht="15.75" customHeight="1">
      <c r="B41" s="38"/>
      <c r="C41" s="38"/>
      <c r="D41" s="38"/>
      <c r="E41" s="38"/>
      <c r="F41" s="38"/>
      <c r="G41" s="38"/>
      <c r="H41" s="38"/>
    </row>
    <row r="42" ht="15.75" customHeight="1">
      <c r="B42" s="38"/>
      <c r="C42" s="38"/>
      <c r="D42" s="38"/>
      <c r="E42" s="38"/>
      <c r="F42" s="38"/>
      <c r="G42" s="38"/>
      <c r="H42" s="38"/>
    </row>
    <row r="43" ht="15.75" customHeight="1">
      <c r="B43" s="38"/>
      <c r="C43" s="38"/>
      <c r="D43" s="38"/>
      <c r="E43" s="38"/>
      <c r="F43" s="38"/>
      <c r="G43" s="38"/>
      <c r="H43" s="38"/>
    </row>
    <row r="44" ht="15.75" customHeight="1">
      <c r="B44" s="38"/>
      <c r="C44" s="38"/>
      <c r="D44" s="38"/>
      <c r="E44" s="38"/>
      <c r="F44" s="38"/>
      <c r="G44" s="38"/>
      <c r="H44" s="38"/>
    </row>
    <row r="45" ht="15.75" customHeight="1">
      <c r="B45" s="38"/>
      <c r="C45" s="38"/>
      <c r="D45" s="38"/>
      <c r="E45" s="38"/>
      <c r="F45" s="38"/>
      <c r="G45" s="38"/>
      <c r="H45" s="38"/>
    </row>
    <row r="46" ht="15.75" customHeight="1">
      <c r="B46" s="38"/>
      <c r="C46" s="38"/>
      <c r="D46" s="38"/>
      <c r="E46" s="38"/>
      <c r="F46" s="38"/>
      <c r="G46" s="38"/>
      <c r="H46" s="38"/>
    </row>
    <row r="47" ht="15.75" customHeight="1">
      <c r="B47" s="38"/>
      <c r="C47" s="38"/>
      <c r="D47" s="38"/>
      <c r="E47" s="38"/>
      <c r="F47" s="38"/>
      <c r="G47" s="38"/>
      <c r="H47" s="38"/>
    </row>
    <row r="48" ht="15.75" customHeight="1">
      <c r="B48" s="38"/>
      <c r="C48" s="38"/>
      <c r="D48" s="38"/>
      <c r="E48" s="38"/>
      <c r="F48" s="38"/>
      <c r="G48" s="38"/>
      <c r="H48" s="38"/>
    </row>
    <row r="49" ht="15.75" customHeight="1">
      <c r="B49" s="38"/>
      <c r="C49" s="38"/>
      <c r="D49" s="38"/>
      <c r="E49" s="38"/>
      <c r="F49" s="38"/>
      <c r="G49" s="38"/>
      <c r="H49" s="38"/>
    </row>
    <row r="50" ht="15.75" customHeight="1">
      <c r="B50" s="38"/>
      <c r="C50" s="38"/>
      <c r="D50" s="38"/>
      <c r="E50" s="38"/>
      <c r="F50" s="38"/>
      <c r="G50" s="38"/>
      <c r="H50" s="38"/>
    </row>
    <row r="51" ht="15.75" customHeight="1">
      <c r="B51" s="38"/>
      <c r="C51" s="38"/>
      <c r="D51" s="38"/>
      <c r="E51" s="38"/>
      <c r="F51" s="38"/>
      <c r="G51" s="38"/>
      <c r="H51" s="38"/>
    </row>
    <row r="52" ht="15.75" customHeight="1">
      <c r="B52" s="38"/>
      <c r="C52" s="38"/>
      <c r="D52" s="38"/>
      <c r="E52" s="38"/>
      <c r="F52" s="38"/>
      <c r="G52" s="38"/>
      <c r="H52" s="38"/>
    </row>
    <row r="53" ht="15.75" customHeight="1">
      <c r="B53" s="38"/>
      <c r="C53" s="38"/>
      <c r="D53" s="38"/>
      <c r="E53" s="38"/>
      <c r="F53" s="38"/>
      <c r="G53" s="38"/>
      <c r="H53" s="38"/>
    </row>
    <row r="54" ht="15.75" customHeight="1">
      <c r="B54" s="38"/>
      <c r="C54" s="38"/>
      <c r="D54" s="38"/>
      <c r="E54" s="38"/>
      <c r="F54" s="38"/>
      <c r="G54" s="38"/>
      <c r="H54" s="38"/>
    </row>
    <row r="55" ht="15.75" customHeight="1">
      <c r="B55" s="38"/>
      <c r="C55" s="38"/>
      <c r="D55" s="38"/>
      <c r="E55" s="38"/>
      <c r="F55" s="38"/>
      <c r="G55" s="38"/>
      <c r="H55" s="38"/>
    </row>
    <row r="56" ht="15.75" customHeight="1">
      <c r="B56" s="38"/>
      <c r="C56" s="38"/>
      <c r="D56" s="38"/>
      <c r="E56" s="38"/>
      <c r="F56" s="38"/>
      <c r="G56" s="38"/>
      <c r="H56" s="38"/>
    </row>
    <row r="57" ht="15.75" customHeight="1">
      <c r="B57" s="38"/>
      <c r="C57" s="38"/>
      <c r="D57" s="38"/>
      <c r="E57" s="38"/>
      <c r="F57" s="38"/>
      <c r="G57" s="38"/>
      <c r="H57" s="38"/>
    </row>
    <row r="58" ht="15.75" customHeight="1">
      <c r="B58" s="38"/>
      <c r="C58" s="38"/>
      <c r="D58" s="38"/>
      <c r="E58" s="38"/>
      <c r="F58" s="38"/>
      <c r="G58" s="38"/>
      <c r="H58" s="38"/>
    </row>
    <row r="59" ht="15.75" customHeight="1">
      <c r="B59" s="38"/>
      <c r="C59" s="38"/>
      <c r="D59" s="38"/>
      <c r="E59" s="38"/>
      <c r="F59" s="38"/>
      <c r="G59" s="38"/>
      <c r="H59" s="38"/>
    </row>
    <row r="60" ht="15.75" customHeight="1">
      <c r="B60" s="38"/>
      <c r="C60" s="38"/>
      <c r="D60" s="38"/>
      <c r="E60" s="38"/>
      <c r="F60" s="38"/>
      <c r="G60" s="38"/>
      <c r="H60" s="38"/>
    </row>
    <row r="61" ht="15.75" customHeight="1">
      <c r="B61" s="38"/>
      <c r="C61" s="38"/>
      <c r="D61" s="38"/>
      <c r="E61" s="38"/>
      <c r="F61" s="38"/>
      <c r="G61" s="38"/>
      <c r="H61" s="38"/>
    </row>
    <row r="62" ht="15.75" customHeight="1">
      <c r="B62" s="38"/>
      <c r="C62" s="38"/>
      <c r="D62" s="38"/>
      <c r="E62" s="38"/>
      <c r="F62" s="38"/>
      <c r="G62" s="38"/>
      <c r="H62" s="38"/>
    </row>
    <row r="63" ht="15.75" customHeight="1">
      <c r="B63" s="38"/>
      <c r="C63" s="38"/>
      <c r="D63" s="38"/>
      <c r="E63" s="38"/>
      <c r="F63" s="38"/>
      <c r="G63" s="38"/>
      <c r="H63" s="38"/>
    </row>
    <row r="64" ht="15.75" customHeight="1">
      <c r="B64" s="38"/>
      <c r="C64" s="38"/>
      <c r="D64" s="38"/>
      <c r="E64" s="38"/>
      <c r="F64" s="38"/>
      <c r="G64" s="38"/>
      <c r="H64" s="38"/>
    </row>
    <row r="65" ht="15.75" customHeight="1">
      <c r="B65" s="38"/>
      <c r="C65" s="38"/>
      <c r="D65" s="38"/>
      <c r="E65" s="38"/>
      <c r="F65" s="38"/>
      <c r="G65" s="38"/>
      <c r="H65" s="38"/>
    </row>
    <row r="66" ht="15.75" customHeight="1">
      <c r="B66" s="38"/>
      <c r="C66" s="38"/>
      <c r="D66" s="38"/>
      <c r="E66" s="38"/>
      <c r="F66" s="38"/>
      <c r="G66" s="38"/>
      <c r="H66" s="38"/>
    </row>
    <row r="67" ht="15.75" customHeight="1">
      <c r="B67" s="38"/>
      <c r="C67" s="38"/>
      <c r="D67" s="38"/>
      <c r="E67" s="38"/>
      <c r="F67" s="38"/>
      <c r="G67" s="38"/>
      <c r="H67" s="38"/>
    </row>
    <row r="68" ht="15.75" customHeight="1">
      <c r="B68" s="38"/>
      <c r="C68" s="38"/>
      <c r="D68" s="38"/>
      <c r="E68" s="38"/>
      <c r="F68" s="38"/>
      <c r="G68" s="38"/>
      <c r="H68" s="38"/>
    </row>
    <row r="69" ht="15.75" customHeight="1">
      <c r="B69" s="38"/>
      <c r="C69" s="38"/>
      <c r="D69" s="38"/>
      <c r="E69" s="38"/>
      <c r="F69" s="38"/>
      <c r="G69" s="38"/>
      <c r="H69" s="38"/>
    </row>
    <row r="70" ht="15.75" customHeight="1">
      <c r="B70" s="38"/>
      <c r="C70" s="38"/>
      <c r="D70" s="38"/>
      <c r="E70" s="38"/>
      <c r="F70" s="38"/>
      <c r="G70" s="38"/>
      <c r="H70" s="38"/>
    </row>
    <row r="71" ht="15.75" customHeight="1">
      <c r="B71" s="38"/>
      <c r="C71" s="38"/>
      <c r="D71" s="38"/>
      <c r="E71" s="38"/>
      <c r="F71" s="38"/>
      <c r="G71" s="38"/>
      <c r="H71" s="38"/>
    </row>
    <row r="72" ht="15.75" customHeight="1">
      <c r="B72" s="38"/>
      <c r="C72" s="38"/>
      <c r="D72" s="38"/>
      <c r="E72" s="38"/>
      <c r="F72" s="38"/>
      <c r="G72" s="38"/>
      <c r="H72" s="38"/>
    </row>
    <row r="73" ht="15.75" customHeight="1">
      <c r="B73" s="38"/>
      <c r="C73" s="38"/>
      <c r="D73" s="38"/>
      <c r="E73" s="38"/>
      <c r="F73" s="38"/>
      <c r="G73" s="38"/>
      <c r="H73" s="38"/>
    </row>
    <row r="74" ht="15.75" customHeight="1">
      <c r="B74" s="38"/>
      <c r="C74" s="38"/>
      <c r="D74" s="38"/>
      <c r="E74" s="38"/>
      <c r="F74" s="38"/>
      <c r="G74" s="38"/>
      <c r="H74" s="38"/>
    </row>
    <row r="75" ht="15.75" customHeight="1">
      <c r="B75" s="38"/>
      <c r="C75" s="38"/>
      <c r="D75" s="38"/>
      <c r="E75" s="38"/>
      <c r="F75" s="38"/>
      <c r="G75" s="38"/>
      <c r="H75" s="38"/>
    </row>
    <row r="76" ht="15.75" customHeight="1">
      <c r="B76" s="38"/>
      <c r="C76" s="38"/>
      <c r="D76" s="38"/>
      <c r="E76" s="38"/>
      <c r="F76" s="38"/>
      <c r="G76" s="38"/>
      <c r="H76" s="38"/>
    </row>
    <row r="77" ht="15.75" customHeight="1">
      <c r="B77" s="38"/>
      <c r="C77" s="38"/>
      <c r="D77" s="38"/>
      <c r="E77" s="38"/>
      <c r="F77" s="38"/>
      <c r="G77" s="38"/>
      <c r="H77" s="38"/>
    </row>
    <row r="78" ht="15.75" customHeight="1">
      <c r="B78" s="38"/>
      <c r="C78" s="38"/>
      <c r="D78" s="38"/>
      <c r="E78" s="38"/>
      <c r="F78" s="38"/>
      <c r="G78" s="38"/>
      <c r="H78" s="38"/>
    </row>
    <row r="79" ht="15.75" customHeight="1">
      <c r="B79" s="38"/>
      <c r="C79" s="38"/>
      <c r="D79" s="38"/>
      <c r="E79" s="38"/>
      <c r="F79" s="38"/>
      <c r="G79" s="38"/>
      <c r="H79" s="38"/>
    </row>
    <row r="80" ht="15.75" customHeight="1">
      <c r="B80" s="38"/>
      <c r="C80" s="38"/>
      <c r="D80" s="38"/>
      <c r="E80" s="38"/>
      <c r="F80" s="38"/>
      <c r="G80" s="38"/>
      <c r="H80" s="38"/>
    </row>
    <row r="81" ht="15.75" customHeight="1">
      <c r="B81" s="38"/>
      <c r="C81" s="38"/>
      <c r="D81" s="38"/>
      <c r="E81" s="38"/>
      <c r="F81" s="38"/>
      <c r="G81" s="38"/>
      <c r="H81" s="38"/>
    </row>
    <row r="82" ht="15.75" customHeight="1">
      <c r="B82" s="38"/>
      <c r="C82" s="38"/>
      <c r="D82" s="38"/>
      <c r="E82" s="38"/>
      <c r="F82" s="38"/>
      <c r="G82" s="38"/>
      <c r="H82" s="38"/>
    </row>
    <row r="83" ht="15.75" customHeight="1">
      <c r="B83" s="38"/>
      <c r="C83" s="38"/>
      <c r="D83" s="38"/>
      <c r="E83" s="38"/>
      <c r="F83" s="38"/>
      <c r="G83" s="38"/>
      <c r="H83" s="38"/>
    </row>
    <row r="84" ht="15.75" customHeight="1">
      <c r="B84" s="38"/>
      <c r="C84" s="38"/>
      <c r="D84" s="38"/>
      <c r="E84" s="38"/>
      <c r="F84" s="38"/>
      <c r="G84" s="38"/>
      <c r="H84" s="38"/>
    </row>
    <row r="85" ht="15.75" customHeight="1">
      <c r="B85" s="38"/>
      <c r="C85" s="38"/>
      <c r="D85" s="38"/>
      <c r="E85" s="38"/>
      <c r="F85" s="38"/>
      <c r="G85" s="38"/>
      <c r="H85" s="38"/>
    </row>
    <row r="86" ht="15.75" customHeight="1">
      <c r="B86" s="38"/>
      <c r="C86" s="38"/>
      <c r="D86" s="38"/>
      <c r="E86" s="38"/>
      <c r="F86" s="38"/>
      <c r="G86" s="38"/>
      <c r="H86" s="38"/>
    </row>
    <row r="87" ht="15.75" customHeight="1">
      <c r="B87" s="38"/>
      <c r="C87" s="38"/>
      <c r="D87" s="38"/>
      <c r="E87" s="38"/>
      <c r="F87" s="38"/>
      <c r="G87" s="38"/>
      <c r="H87" s="38"/>
    </row>
    <row r="88" ht="15.75" customHeight="1">
      <c r="B88" s="38"/>
      <c r="C88" s="38"/>
      <c r="D88" s="38"/>
      <c r="E88" s="38"/>
      <c r="F88" s="38"/>
      <c r="G88" s="38"/>
      <c r="H88" s="38"/>
    </row>
    <row r="89" ht="15.75" customHeight="1">
      <c r="B89" s="38"/>
      <c r="C89" s="38"/>
      <c r="D89" s="38"/>
      <c r="E89" s="38"/>
      <c r="F89" s="38"/>
      <c r="G89" s="38"/>
      <c r="H89" s="38"/>
    </row>
    <row r="90" ht="15.75" customHeight="1">
      <c r="B90" s="38"/>
      <c r="C90" s="38"/>
      <c r="D90" s="38"/>
      <c r="E90" s="38"/>
      <c r="F90" s="38"/>
      <c r="G90" s="38"/>
      <c r="H90" s="38"/>
    </row>
    <row r="91" ht="15.75" customHeight="1">
      <c r="B91" s="38"/>
      <c r="C91" s="38"/>
      <c r="D91" s="38"/>
      <c r="E91" s="38"/>
      <c r="F91" s="38"/>
      <c r="G91" s="38"/>
      <c r="H91" s="38"/>
    </row>
    <row r="92" ht="15.75" customHeight="1">
      <c r="B92" s="38"/>
      <c r="C92" s="38"/>
      <c r="D92" s="38"/>
      <c r="E92" s="38"/>
      <c r="F92" s="38"/>
      <c r="G92" s="38"/>
      <c r="H92" s="38"/>
    </row>
    <row r="93" ht="15.75" customHeight="1">
      <c r="B93" s="38"/>
      <c r="C93" s="38"/>
      <c r="D93" s="38"/>
      <c r="E93" s="38"/>
      <c r="F93" s="38"/>
      <c r="G93" s="38"/>
      <c r="H93" s="38"/>
    </row>
    <row r="94" ht="15.75" customHeight="1">
      <c r="B94" s="38"/>
      <c r="C94" s="38"/>
      <c r="D94" s="38"/>
      <c r="E94" s="38"/>
      <c r="F94" s="38"/>
      <c r="G94" s="38"/>
      <c r="H94" s="38"/>
    </row>
    <row r="95" ht="15.75" customHeight="1">
      <c r="B95" s="38"/>
      <c r="C95" s="38"/>
      <c r="D95" s="38"/>
      <c r="E95" s="38"/>
      <c r="F95" s="38"/>
      <c r="G95" s="38"/>
      <c r="H95" s="38"/>
    </row>
    <row r="96" ht="15.75" customHeight="1">
      <c r="B96" s="38"/>
      <c r="C96" s="38"/>
      <c r="D96" s="38"/>
      <c r="E96" s="38"/>
      <c r="F96" s="38"/>
      <c r="G96" s="38"/>
      <c r="H96" s="38"/>
    </row>
    <row r="97" ht="15.75" customHeight="1">
      <c r="B97" s="38"/>
      <c r="C97" s="38"/>
      <c r="D97" s="38"/>
      <c r="E97" s="38"/>
      <c r="F97" s="38"/>
      <c r="G97" s="38"/>
      <c r="H97" s="38"/>
    </row>
    <row r="98" ht="15.75" customHeight="1">
      <c r="B98" s="38"/>
      <c r="C98" s="38"/>
      <c r="D98" s="38"/>
      <c r="E98" s="38"/>
      <c r="F98" s="38"/>
      <c r="G98" s="38"/>
      <c r="H98" s="38"/>
    </row>
    <row r="99" ht="15.75" customHeight="1">
      <c r="B99" s="38"/>
      <c r="C99" s="38"/>
      <c r="D99" s="38"/>
      <c r="E99" s="38"/>
      <c r="F99" s="38"/>
      <c r="G99" s="38"/>
      <c r="H99" s="38"/>
    </row>
    <row r="100" ht="15.75" customHeight="1">
      <c r="B100" s="38"/>
      <c r="C100" s="38"/>
      <c r="D100" s="38"/>
      <c r="E100" s="38"/>
      <c r="F100" s="38"/>
      <c r="G100" s="38"/>
      <c r="H100" s="38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2:H100">
    <cfRule type="cellIs" dxfId="0" priority="1" operator="greaterThan">
      <formula>"0%"</formula>
    </cfRule>
  </conditionalFormatting>
  <conditionalFormatting sqref="H2:H100">
    <cfRule type="cellIs" dxfId="1" priority="2" operator="lessThan">
      <formula>"0%"</formula>
    </cfRule>
  </conditionalFormatting>
  <conditionalFormatting sqref="H2:H100">
    <cfRule type="cellIs" dxfId="2" priority="3" operator="equal">
      <formula>0</formula>
    </cfRule>
  </conditionalFormatting>
  <hyperlinks>
    <hyperlink r:id="rId1" ref="B2"/>
    <hyperlink r:id="rId2" ref="B3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